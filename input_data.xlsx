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ments" sheetId="1" state="visible" r:id="rId3"/>
    <sheet name="Nodes" sheetId="2" state="visible" r:id="rId4"/>
    <sheet name="Instruments_json" sheetId="3" state="visible" r:id="rId5"/>
    <sheet name="Nodes_json" sheetId="4" state="visible" r:id="rId6"/>
    <sheet name="Node Calculation" sheetId="5" state="visible" r:id="rId7"/>
    <sheet name="Bloomberg_loa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<sst xmlns="http://schemas.openxmlformats.org/spreadsheetml/2006/main" count="350" uniqueCount="94">
  <si>
    <t xml:space="preserve">curve</t>
  </si>
  <si>
    <t xml:space="preserve">type</t>
  </si>
  <si>
    <t xml:space="preserve">subtype</t>
  </si>
  <si>
    <t xml:space="preserve">effective_date</t>
  </si>
  <si>
    <t xml:space="preserve">termination</t>
  </si>
  <si>
    <t xml:space="preserve">rate</t>
  </si>
  <si>
    <t xml:space="preserve">switch</t>
  </si>
  <si>
    <t xml:space="preserve">params</t>
  </si>
  <si>
    <t xml:space="preserve">tenor</t>
  </si>
  <si>
    <t xml:space="preserve">date</t>
  </si>
  <si>
    <t xml:space="preserve">df</t>
  </si>
  <si>
    <t xml:space="preserve">SOFR</t>
  </si>
  <si>
    <t xml:space="preserve">Ticker</t>
  </si>
  <si>
    <t xml:space="preserve">Tenor</t>
  </si>
  <si>
    <t xml:space="preserve">Curve</t>
  </si>
  <si>
    <t xml:space="preserve">Node</t>
  </si>
  <si>
    <t xml:space="preserve">Final CB</t>
  </si>
  <si>
    <t xml:space="preserve">Today</t>
  </si>
  <si>
    <t xml:space="preserve">sofr</t>
  </si>
  <si>
    <t xml:space="preserve">ESTR</t>
  </si>
  <si>
    <t xml:space="preserve">estr</t>
  </si>
  <si>
    <t xml:space="preserve">Label</t>
  </si>
  <si>
    <t xml:space="preserve">Type</t>
  </si>
  <si>
    <t xml:space="preserve">Subtype</t>
  </si>
  <si>
    <t xml:space="preserve">SETTLE_DT</t>
  </si>
  <si>
    <t xml:space="preserve">MATURITY</t>
  </si>
  <si>
    <t xml:space="preserve">LAST_PRICE</t>
  </si>
  <si>
    <t xml:space="preserve">A</t>
  </si>
  <si>
    <t xml:space="preserve">1M</t>
  </si>
  <si>
    <t xml:space="preserve">IRS</t>
  </si>
  <si>
    <t xml:space="preserve">OIS</t>
  </si>
  <si>
    <t xml:space="preserve">B</t>
  </si>
  <si>
    <t xml:space="preserve">2M</t>
  </si>
  <si>
    <t xml:space="preserve">C</t>
  </si>
  <si>
    <t xml:space="preserve">3M</t>
  </si>
  <si>
    <t xml:space="preserve">D</t>
  </si>
  <si>
    <t xml:space="preserve">4M</t>
  </si>
  <si>
    <t xml:space="preserve">E</t>
  </si>
  <si>
    <t xml:space="preserve">5M</t>
  </si>
  <si>
    <t xml:space="preserve">F</t>
  </si>
  <si>
    <t xml:space="preserve">6M</t>
  </si>
  <si>
    <t xml:space="preserve">G</t>
  </si>
  <si>
    <t xml:space="preserve">7M</t>
  </si>
  <si>
    <t xml:space="preserve">H</t>
  </si>
  <si>
    <t xml:space="preserve">8M</t>
  </si>
  <si>
    <t xml:space="preserve">I</t>
  </si>
  <si>
    <t xml:space="preserve">9M</t>
  </si>
  <si>
    <t xml:space="preserve">J</t>
  </si>
  <si>
    <t xml:space="preserve">10M</t>
  </si>
  <si>
    <t xml:space="preserve">K</t>
  </si>
  <si>
    <t xml:space="preserve">11M</t>
  </si>
  <si>
    <t xml:space="preserve">1Y</t>
  </si>
  <si>
    <t xml:space="preserve">2Y</t>
  </si>
  <si>
    <t xml:space="preserve">3Y</t>
  </si>
  <si>
    <t xml:space="preserve">4Y</t>
  </si>
  <si>
    <t xml:space="preserve">5Y</t>
  </si>
  <si>
    <t xml:space="preserve">CBOIS</t>
  </si>
  <si>
    <t xml:space="preserve">ECB0</t>
  </si>
  <si>
    <t xml:space="preserve">ECB1</t>
  </si>
  <si>
    <t xml:space="preserve">ECB2</t>
  </si>
  <si>
    <t xml:space="preserve">ECB3</t>
  </si>
  <si>
    <t xml:space="preserve">ECB4</t>
  </si>
  <si>
    <t xml:space="preserve">ECB5</t>
  </si>
  <si>
    <t xml:space="preserve">ECB6</t>
  </si>
  <si>
    <t xml:space="preserve">ECB7</t>
  </si>
  <si>
    <t xml:space="preserve">ECB8</t>
  </si>
  <si>
    <t xml:space="preserve">EURON</t>
  </si>
  <si>
    <t xml:space="preserve">eurusd</t>
  </si>
  <si>
    <t xml:space="preserve">FXF</t>
  </si>
  <si>
    <t xml:space="preserve">EURTN</t>
  </si>
  <si>
    <t xml:space="preserve">EURSN</t>
  </si>
  <si>
    <t xml:space="preserve">EUR1W</t>
  </si>
  <si>
    <t xml:space="preserve">EUR2W</t>
  </si>
  <si>
    <t xml:space="preserve">EUR3W</t>
  </si>
  <si>
    <t xml:space="preserve">EUR1M</t>
  </si>
  <si>
    <t xml:space="preserve">EUR2M</t>
  </si>
  <si>
    <t xml:space="preserve">EUR3M</t>
  </si>
  <si>
    <t xml:space="preserve">EUR4M</t>
  </si>
  <si>
    <t xml:space="preserve">EUR5M</t>
  </si>
  <si>
    <t xml:space="preserve">EUR6M</t>
  </si>
  <si>
    <t xml:space="preserve">EUR7M</t>
  </si>
  <si>
    <t xml:space="preserve">EUR8M</t>
  </si>
  <si>
    <t xml:space="preserve">EUR9M</t>
  </si>
  <si>
    <t xml:space="preserve">EUR10M</t>
  </si>
  <si>
    <t xml:space="preserve">EUR11M</t>
  </si>
  <si>
    <t xml:space="preserve">EUR12M</t>
  </si>
  <si>
    <t xml:space="preserve">EUR15M</t>
  </si>
  <si>
    <t xml:space="preserve">EUR18M</t>
  </si>
  <si>
    <t xml:space="preserve">EUR21M</t>
  </si>
  <si>
    <t xml:space="preserve">EUR2Y</t>
  </si>
  <si>
    <t xml:space="preserve">EUR30M</t>
  </si>
  <si>
    <t xml:space="preserve">EUR3Y</t>
  </si>
  <si>
    <t xml:space="preserve">EUR4Y</t>
  </si>
  <si>
    <t xml:space="preserve">EUR5Y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</si>
</sst>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2" activeCellId="0" sqref="I12"/>
    </sheetView>
  </sheetViews>
  <sheetFormatPr defaultColWidth="8.3984375" defaultRowHeight="15" zeroHeight="false" outlineLevelRow="0" outlineLevelCol="0"/>
  <cols>
    <col collapsed="false" customWidth="true" hidden="false" outlineLevel="0" max="5" min="4" style="0" width="10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tr">
        <f aca="false">Bloomberg_load!D2</f>
        <v>sofr</v>
      </c>
      <c r="B2" s="0" t="str">
        <f aca="false">Bloomberg_load!E2</f>
        <v>IRS</v>
      </c>
      <c r="C2" s="0" t="str">
        <f aca="false">Bloomberg_load!F2</f>
        <v>OIS</v>
      </c>
      <c r="D2" s="1" t="e">
        <f aca="false">Bloomberg_load!G2</f>
        <v>#NAME?</v>
      </c>
      <c r="E2" s="1" t="e">
        <f aca="false">Bloomberg_load!H2</f>
        <v>#NAME?</v>
      </c>
      <c r="F2" s="0" t="e">
        <f aca="false">Bloomberg_load!I2</f>
        <v>#NAME?</v>
      </c>
      <c r="G2" s="0" t="e">
        <f aca="false">IF(OR(LEFT(F2,1)="#",LEFT(E2,1)="#",LEFT(D2,1)="#"),0,1)</f>
        <v>#NAME?</v>
      </c>
      <c r="I2" s="0" t="str">
        <f aca="false">Bloomberg_load!C2</f>
        <v>1M</v>
      </c>
    </row>
    <row r="3" customFormat="false" ht="15" hidden="false" customHeight="false" outlineLevel="0" collapsed="false">
      <c r="A3" s="0" t="str">
        <f aca="false">Bloomberg_load!D3</f>
        <v>sofr</v>
      </c>
      <c r="B3" s="0" t="str">
        <f aca="false">Bloomberg_load!E3</f>
        <v>IRS</v>
      </c>
      <c r="C3" s="0" t="str">
        <f aca="false">Bloomberg_load!F3</f>
        <v>OIS</v>
      </c>
      <c r="D3" s="1" t="e">
        <f aca="false">Bloomberg_load!G3</f>
        <v>#NAME?</v>
      </c>
      <c r="E3" s="1" t="e">
        <f aca="false">Bloomberg_load!H3</f>
        <v>#NAME?</v>
      </c>
      <c r="F3" s="0" t="e">
        <f aca="false">Bloomberg_load!I3</f>
        <v>#NAME?</v>
      </c>
      <c r="G3" s="0" t="e">
        <f aca="false">IF(OR(LEFT(F3,1)="#",LEFT(E3,1)="#",LEFT(D3,1)="#"),0,1)</f>
        <v>#NAME?</v>
      </c>
      <c r="I3" s="0" t="str">
        <f aca="false">Bloomberg_load!C3</f>
        <v>2M</v>
      </c>
    </row>
    <row r="4" customFormat="false" ht="15" hidden="false" customHeight="false" outlineLevel="0" collapsed="false">
      <c r="A4" s="0" t="str">
        <f aca="false">Bloomberg_load!D4</f>
        <v>sofr</v>
      </c>
      <c r="B4" s="0" t="str">
        <f aca="false">Bloomberg_load!E4</f>
        <v>IRS</v>
      </c>
      <c r="C4" s="0" t="str">
        <f aca="false">Bloomberg_load!F4</f>
        <v>OIS</v>
      </c>
      <c r="D4" s="1" t="e">
        <f aca="false">Bloomberg_load!G4</f>
        <v>#NAME?</v>
      </c>
      <c r="E4" s="1" t="e">
        <f aca="false">Bloomberg_load!H4</f>
        <v>#NAME?</v>
      </c>
      <c r="F4" s="0" t="e">
        <f aca="false">Bloomberg_load!I4</f>
        <v>#NAME?</v>
      </c>
      <c r="G4" s="0" t="e">
        <f aca="false">IF(OR(LEFT(F4,1)="#",LEFT(E4,1)="#",LEFT(D4,1)="#"),0,1)</f>
        <v>#NAME?</v>
      </c>
      <c r="I4" s="0" t="str">
        <f aca="false">Bloomberg_load!C4</f>
        <v>3M</v>
      </c>
    </row>
    <row r="5" customFormat="false" ht="15" hidden="false" customHeight="false" outlineLevel="0" collapsed="false">
      <c r="A5" s="0" t="str">
        <f aca="false">Bloomberg_load!D5</f>
        <v>sofr</v>
      </c>
      <c r="B5" s="0" t="str">
        <f aca="false">Bloomberg_load!E5</f>
        <v>IRS</v>
      </c>
      <c r="C5" s="0" t="str">
        <f aca="false">Bloomberg_load!F5</f>
        <v>OIS</v>
      </c>
      <c r="D5" s="1" t="e">
        <f aca="false">Bloomberg_load!G5</f>
        <v>#NAME?</v>
      </c>
      <c r="E5" s="1" t="e">
        <f aca="false">Bloomberg_load!H5</f>
        <v>#NAME?</v>
      </c>
      <c r="F5" s="0" t="e">
        <f aca="false">Bloomberg_load!I5</f>
        <v>#NAME?</v>
      </c>
      <c r="G5" s="0" t="e">
        <f aca="false">IF(OR(LEFT(F5,1)="#",LEFT(E5,1)="#",LEFT(D5,1)="#"),0,1)</f>
        <v>#NAME?</v>
      </c>
      <c r="I5" s="0" t="str">
        <f aca="false">Bloomberg_load!C5</f>
        <v>4M</v>
      </c>
    </row>
    <row r="6" customFormat="false" ht="15" hidden="false" customHeight="false" outlineLevel="0" collapsed="false">
      <c r="A6" s="0" t="str">
        <f aca="false">Bloomberg_load!D6</f>
        <v>sofr</v>
      </c>
      <c r="B6" s="0" t="str">
        <f aca="false">Bloomberg_load!E6</f>
        <v>IRS</v>
      </c>
      <c r="C6" s="0" t="str">
        <f aca="false">Bloomberg_load!F6</f>
        <v>OIS</v>
      </c>
      <c r="D6" s="1" t="e">
        <f aca="false">Bloomberg_load!G6</f>
        <v>#NAME?</v>
      </c>
      <c r="E6" s="1" t="e">
        <f aca="false">Bloomberg_load!H6</f>
        <v>#NAME?</v>
      </c>
      <c r="F6" s="0" t="e">
        <f aca="false">Bloomberg_load!I6</f>
        <v>#NAME?</v>
      </c>
      <c r="G6" s="0" t="e">
        <f aca="false">IF(OR(LEFT(F6,1)="#",LEFT(E6,1)="#",LEFT(D6,1)="#"),0,1)</f>
        <v>#NAME?</v>
      </c>
      <c r="I6" s="0" t="str">
        <f aca="false">Bloomberg_load!C6</f>
        <v>5M</v>
      </c>
    </row>
    <row r="7" customFormat="false" ht="15" hidden="false" customHeight="false" outlineLevel="0" collapsed="false">
      <c r="A7" s="0" t="str">
        <f aca="false">Bloomberg_load!D7</f>
        <v>sofr</v>
      </c>
      <c r="B7" s="0" t="str">
        <f aca="false">Bloomberg_load!E7</f>
        <v>IRS</v>
      </c>
      <c r="C7" s="0" t="str">
        <f aca="false">Bloomberg_load!F7</f>
        <v>OIS</v>
      </c>
      <c r="D7" s="1" t="e">
        <f aca="false">Bloomberg_load!G7</f>
        <v>#NAME?</v>
      </c>
      <c r="E7" s="1" t="e">
        <f aca="false">Bloomberg_load!H7</f>
        <v>#NAME?</v>
      </c>
      <c r="F7" s="0" t="e">
        <f aca="false">Bloomberg_load!I7</f>
        <v>#NAME?</v>
      </c>
      <c r="G7" s="0" t="e">
        <f aca="false">IF(OR(LEFT(F7,1)="#",LEFT(E7,1)="#",LEFT(D7,1)="#"),0,1)</f>
        <v>#NAME?</v>
      </c>
      <c r="I7" s="0" t="str">
        <f aca="false">Bloomberg_load!C7</f>
        <v>6M</v>
      </c>
    </row>
    <row r="8" customFormat="false" ht="15" hidden="false" customHeight="false" outlineLevel="0" collapsed="false">
      <c r="A8" s="0" t="str">
        <f aca="false">Bloomberg_load!D8</f>
        <v>sofr</v>
      </c>
      <c r="B8" s="0" t="str">
        <f aca="false">Bloomberg_load!E8</f>
        <v>IRS</v>
      </c>
      <c r="C8" s="0" t="str">
        <f aca="false">Bloomberg_load!F8</f>
        <v>OIS</v>
      </c>
      <c r="D8" s="1" t="e">
        <f aca="false">Bloomberg_load!G8</f>
        <v>#NAME?</v>
      </c>
      <c r="E8" s="1" t="e">
        <f aca="false">Bloomberg_load!H8</f>
        <v>#NAME?</v>
      </c>
      <c r="F8" s="0" t="e">
        <f aca="false">Bloomberg_load!I8</f>
        <v>#NAME?</v>
      </c>
      <c r="G8" s="0" t="e">
        <f aca="false">IF(OR(LEFT(F8,1)="#",LEFT(E8,1)="#",LEFT(D8,1)="#"),0,1)</f>
        <v>#NAME?</v>
      </c>
      <c r="I8" s="0" t="str">
        <f aca="false">Bloomberg_load!C8</f>
        <v>7M</v>
      </c>
    </row>
    <row r="9" customFormat="false" ht="15" hidden="false" customHeight="false" outlineLevel="0" collapsed="false">
      <c r="A9" s="0" t="str">
        <f aca="false">Bloomberg_load!D9</f>
        <v>sofr</v>
      </c>
      <c r="B9" s="0" t="str">
        <f aca="false">Bloomberg_load!E9</f>
        <v>IRS</v>
      </c>
      <c r="C9" s="0" t="str">
        <f aca="false">Bloomberg_load!F9</f>
        <v>OIS</v>
      </c>
      <c r="D9" s="1" t="e">
        <f aca="false">Bloomberg_load!G9</f>
        <v>#NAME?</v>
      </c>
      <c r="E9" s="1" t="e">
        <f aca="false">Bloomberg_load!H9</f>
        <v>#NAME?</v>
      </c>
      <c r="F9" s="0" t="e">
        <f aca="false">Bloomberg_load!I9</f>
        <v>#NAME?</v>
      </c>
      <c r="G9" s="0" t="e">
        <f aca="false">IF(OR(LEFT(F9,1)="#",LEFT(E9,1)="#",LEFT(D9,1)="#"),0,1)</f>
        <v>#NAME?</v>
      </c>
      <c r="I9" s="0" t="str">
        <f aca="false">Bloomberg_load!C9</f>
        <v>8M</v>
      </c>
    </row>
    <row r="10" customFormat="false" ht="15" hidden="false" customHeight="false" outlineLevel="0" collapsed="false">
      <c r="A10" s="0" t="str">
        <f aca="false">Bloomberg_load!D10</f>
        <v>sofr</v>
      </c>
      <c r="B10" s="0" t="str">
        <f aca="false">Bloomberg_load!E10</f>
        <v>IRS</v>
      </c>
      <c r="C10" s="0" t="str">
        <f aca="false">Bloomberg_load!F10</f>
        <v>OIS</v>
      </c>
      <c r="D10" s="1" t="e">
        <f aca="false">Bloomberg_load!G10</f>
        <v>#NAME?</v>
      </c>
      <c r="E10" s="1" t="e">
        <f aca="false">Bloomberg_load!H10</f>
        <v>#NAME?</v>
      </c>
      <c r="F10" s="0" t="e">
        <f aca="false">Bloomberg_load!I10</f>
        <v>#NAME?</v>
      </c>
      <c r="G10" s="0" t="e">
        <f aca="false">IF(OR(LEFT(F10,1)="#",LEFT(E10,1)="#",LEFT(D10,1)="#"),0,1)</f>
        <v>#NAME?</v>
      </c>
      <c r="I10" s="0" t="str">
        <f aca="false">Bloomberg_load!C10</f>
        <v>9M</v>
      </c>
    </row>
    <row r="11" customFormat="false" ht="15" hidden="false" customHeight="false" outlineLevel="0" collapsed="false">
      <c r="A11" s="0" t="str">
        <f aca="false">Bloomberg_load!D11</f>
        <v>sofr</v>
      </c>
      <c r="B11" s="0" t="str">
        <f aca="false">Bloomberg_load!E11</f>
        <v>IRS</v>
      </c>
      <c r="C11" s="0" t="str">
        <f aca="false">Bloomberg_load!F11</f>
        <v>OIS</v>
      </c>
      <c r="D11" s="1" t="e">
        <f aca="false">Bloomberg_load!G11</f>
        <v>#NAME?</v>
      </c>
      <c r="E11" s="1" t="e">
        <f aca="false">Bloomberg_load!H11</f>
        <v>#NAME?</v>
      </c>
      <c r="F11" s="0" t="e">
        <f aca="false">Bloomberg_load!I11</f>
        <v>#NAME?</v>
      </c>
      <c r="G11" s="0" t="e">
        <f aca="false">IF(OR(LEFT(F11,1)="#",LEFT(E11,1)="#",LEFT(D11,1)="#"),0,1)</f>
        <v>#NAME?</v>
      </c>
      <c r="I11" s="0" t="str">
        <f aca="false">Bloomberg_load!C11</f>
        <v>10M</v>
      </c>
    </row>
    <row r="12" customFormat="false" ht="15" hidden="false" customHeight="false" outlineLevel="0" collapsed="false">
      <c r="A12" s="0" t="str">
        <f aca="false">Bloomberg_load!D12</f>
        <v>sofr</v>
      </c>
      <c r="B12" s="0" t="str">
        <f aca="false">Bloomberg_load!E12</f>
        <v>IRS</v>
      </c>
      <c r="C12" s="0" t="str">
        <f aca="false">Bloomberg_load!F12</f>
        <v>OIS</v>
      </c>
      <c r="D12" s="1" t="e">
        <f aca="false">Bloomberg_load!G12</f>
        <v>#NAME?</v>
      </c>
      <c r="E12" s="1" t="e">
        <f aca="false">Bloomberg_load!H12</f>
        <v>#NAME?</v>
      </c>
      <c r="F12" s="0" t="e">
        <f aca="false">Bloomberg_load!I12</f>
        <v>#NAME?</v>
      </c>
      <c r="G12" s="0" t="e">
        <f aca="false">IF(OR(LEFT(F12,1)="#",LEFT(E12,1)="#",LEFT(D12,1)="#"),0,1)</f>
        <v>#NAME?</v>
      </c>
      <c r="I12" s="0" t="str">
        <f aca="false">Bloomberg_load!C12</f>
        <v>11M</v>
      </c>
    </row>
    <row r="13" customFormat="false" ht="15" hidden="false" customHeight="false" outlineLevel="0" collapsed="false">
      <c r="A13" s="0" t="str">
        <f aca="false">Bloomberg_load!D13</f>
        <v>sofr</v>
      </c>
      <c r="B13" s="0" t="str">
        <f aca="false">Bloomberg_load!E13</f>
        <v>IRS</v>
      </c>
      <c r="C13" s="0" t="str">
        <f aca="false">Bloomberg_load!F13</f>
        <v>OIS</v>
      </c>
      <c r="D13" s="1" t="e">
        <f aca="false">Bloomberg_load!G13</f>
        <v>#NAME?</v>
      </c>
      <c r="E13" s="1" t="e">
        <f aca="false">Bloomberg_load!H13</f>
        <v>#NAME?</v>
      </c>
      <c r="F13" s="0" t="e">
        <f aca="false">Bloomberg_load!I13</f>
        <v>#NAME?</v>
      </c>
      <c r="G13" s="0" t="e">
        <f aca="false">IF(OR(LEFT(F13,1)="#",LEFT(E13,1)="#",LEFT(D13,1)="#"),0,1)</f>
        <v>#NAME?</v>
      </c>
      <c r="I13" s="0" t="str">
        <f aca="false">Bloomberg_load!C13</f>
        <v>1Y</v>
      </c>
    </row>
    <row r="14" customFormat="false" ht="15" hidden="false" customHeight="false" outlineLevel="0" collapsed="false">
      <c r="A14" s="0" t="str">
        <f aca="false">Bloomberg_load!D14</f>
        <v>sofr</v>
      </c>
      <c r="B14" s="0" t="str">
        <f aca="false">Bloomberg_load!E14</f>
        <v>IRS</v>
      </c>
      <c r="C14" s="0" t="str">
        <f aca="false">Bloomberg_load!F14</f>
        <v>OIS</v>
      </c>
      <c r="D14" s="1" t="e">
        <f aca="false">Bloomberg_load!G14</f>
        <v>#NAME?</v>
      </c>
      <c r="E14" s="1" t="e">
        <f aca="false">Bloomberg_load!H14</f>
        <v>#NAME?</v>
      </c>
      <c r="F14" s="0" t="e">
        <f aca="false">Bloomberg_load!I14</f>
        <v>#NAME?</v>
      </c>
      <c r="G14" s="0" t="e">
        <f aca="false">IF(OR(LEFT(F14,1)="#",LEFT(E14,1)="#",LEFT(D14,1)="#"),0,1)</f>
        <v>#NAME?</v>
      </c>
      <c r="I14" s="0" t="str">
        <f aca="false">Bloomberg_load!C14</f>
        <v>2Y</v>
      </c>
    </row>
    <row r="15" customFormat="false" ht="15" hidden="false" customHeight="false" outlineLevel="0" collapsed="false">
      <c r="A15" s="0" t="str">
        <f aca="false">Bloomberg_load!D15</f>
        <v>sofr</v>
      </c>
      <c r="B15" s="0" t="str">
        <f aca="false">Bloomberg_load!E15</f>
        <v>IRS</v>
      </c>
      <c r="C15" s="0" t="str">
        <f aca="false">Bloomberg_load!F15</f>
        <v>OIS</v>
      </c>
      <c r="D15" s="1" t="e">
        <f aca="false">Bloomberg_load!G15</f>
        <v>#NAME?</v>
      </c>
      <c r="E15" s="1" t="e">
        <f aca="false">Bloomberg_load!H15</f>
        <v>#NAME?</v>
      </c>
      <c r="F15" s="0" t="e">
        <f aca="false">Bloomberg_load!I15</f>
        <v>#NAME?</v>
      </c>
      <c r="G15" s="0" t="e">
        <f aca="false">IF(OR(LEFT(F15,1)="#",LEFT(E15,1)="#",LEFT(D15,1)="#"),0,1)</f>
        <v>#NAME?</v>
      </c>
      <c r="I15" s="0" t="str">
        <f aca="false">Bloomberg_load!C15</f>
        <v>3Y</v>
      </c>
    </row>
    <row r="16" customFormat="false" ht="15" hidden="false" customHeight="false" outlineLevel="0" collapsed="false">
      <c r="A16" s="0" t="str">
        <f aca="false">Bloomberg_load!D16</f>
        <v>sofr</v>
      </c>
      <c r="B16" s="0" t="str">
        <f aca="false">Bloomberg_load!E16</f>
        <v>IRS</v>
      </c>
      <c r="C16" s="0" t="str">
        <f aca="false">Bloomberg_load!F16</f>
        <v>OIS</v>
      </c>
      <c r="D16" s="1" t="e">
        <f aca="false">Bloomberg_load!G16</f>
        <v>#NAME?</v>
      </c>
      <c r="E16" s="1" t="e">
        <f aca="false">Bloomberg_load!H16</f>
        <v>#NAME?</v>
      </c>
      <c r="F16" s="0" t="e">
        <f aca="false">Bloomberg_load!I16</f>
        <v>#NAME?</v>
      </c>
      <c r="G16" s="0" t="e">
        <f aca="false">IF(OR(LEFT(F16,1)="#",LEFT(E16,1)="#",LEFT(D16,1)="#"),0,1)</f>
        <v>#NAME?</v>
      </c>
      <c r="I16" s="0" t="str">
        <f aca="false">Bloomberg_load!C16</f>
        <v>4Y</v>
      </c>
    </row>
    <row r="17" customFormat="false" ht="15" hidden="false" customHeight="false" outlineLevel="0" collapsed="false">
      <c r="A17" s="0" t="str">
        <f aca="false">Bloomberg_load!D17</f>
        <v>sofr</v>
      </c>
      <c r="B17" s="0" t="str">
        <f aca="false">Bloomberg_load!E17</f>
        <v>IRS</v>
      </c>
      <c r="C17" s="0" t="str">
        <f aca="false">Bloomberg_load!F17</f>
        <v>OIS</v>
      </c>
      <c r="D17" s="1" t="e">
        <f aca="false">Bloomberg_load!G17</f>
        <v>#NAME?</v>
      </c>
      <c r="E17" s="1" t="e">
        <f aca="false">Bloomberg_load!H17</f>
        <v>#NAME?</v>
      </c>
      <c r="F17" s="0" t="e">
        <f aca="false">Bloomberg_load!I17</f>
        <v>#NAME?</v>
      </c>
      <c r="G17" s="0" t="e">
        <f aca="false">IF(OR(LEFT(F17,1)="#",LEFT(E17,1)="#",LEFT(D17,1)="#"),0,1)</f>
        <v>#NAME?</v>
      </c>
      <c r="I17" s="0" t="str">
        <f aca="false">Bloomberg_load!C17</f>
        <v>5Y</v>
      </c>
    </row>
    <row r="18" customFormat="false" ht="15" hidden="false" customHeight="false" outlineLevel="0" collapsed="false">
      <c r="A18" s="0" t="str">
        <f aca="false">Bloomberg_load!D18</f>
        <v>sofr</v>
      </c>
      <c r="B18" s="0" t="str">
        <f aca="false">Bloomberg_load!E18</f>
        <v>IRS</v>
      </c>
      <c r="C18" s="0" t="str">
        <f aca="false">Bloomberg_load!F18</f>
        <v>CBOIS</v>
      </c>
      <c r="D18" s="1" t="e">
        <f aca="false">Bloomberg_load!G18</f>
        <v>#NAME?</v>
      </c>
      <c r="E18" s="1" t="e">
        <f aca="false">Bloomberg_load!H18</f>
        <v>#NAME?</v>
      </c>
      <c r="F18" s="0" t="e">
        <f aca="false">Bloomberg_load!I18</f>
        <v>#NAME?</v>
      </c>
      <c r="G18" s="0" t="e">
        <f aca="false">IF(OR(LEFT(F18,1)="#",LEFT(E18,1)="#",LEFT(D18,1)="#"),0,1)</f>
        <v>#NAME?</v>
      </c>
      <c r="I18" s="0" t="str">
        <f aca="false">Bloomberg_load!C18</f>
        <v>FED1</v>
      </c>
    </row>
    <row r="19" customFormat="false" ht="15" hidden="false" customHeight="false" outlineLevel="0" collapsed="false">
      <c r="A19" s="0" t="str">
        <f aca="false">Bloomberg_load!D19</f>
        <v>sofr</v>
      </c>
      <c r="B19" s="0" t="str">
        <f aca="false">Bloomberg_load!E19</f>
        <v>IRS</v>
      </c>
      <c r="C19" s="0" t="str">
        <f aca="false">Bloomberg_load!F19</f>
        <v>CBOIS</v>
      </c>
      <c r="D19" s="1" t="e">
        <f aca="false">Bloomberg_load!G19</f>
        <v>#NAME?</v>
      </c>
      <c r="E19" s="1" t="e">
        <f aca="false">Bloomberg_load!H19</f>
        <v>#NAME?</v>
      </c>
      <c r="F19" s="0" t="e">
        <f aca="false">Bloomberg_load!I19</f>
        <v>#NAME?</v>
      </c>
      <c r="G19" s="0" t="e">
        <f aca="false">IF(OR(LEFT(F19,1)="#",LEFT(E19,1)="#",LEFT(D19,1)="#"),0,1)</f>
        <v>#NAME?</v>
      </c>
      <c r="I19" s="0" t="str">
        <f aca="false">Bloomberg_load!C19</f>
        <v>FED2</v>
      </c>
    </row>
    <row r="20" customFormat="false" ht="15" hidden="false" customHeight="false" outlineLevel="0" collapsed="false">
      <c r="A20" s="0" t="str">
        <f aca="false">Bloomberg_load!D20</f>
        <v>sofr</v>
      </c>
      <c r="B20" s="0" t="str">
        <f aca="false">Bloomberg_load!E20</f>
        <v>IRS</v>
      </c>
      <c r="C20" s="0" t="str">
        <f aca="false">Bloomberg_load!F20</f>
        <v>CBOIS</v>
      </c>
      <c r="D20" s="1" t="e">
        <f aca="false">Bloomberg_load!G20</f>
        <v>#NAME?</v>
      </c>
      <c r="E20" s="1" t="e">
        <f aca="false">Bloomberg_load!H20</f>
        <v>#NAME?</v>
      </c>
      <c r="F20" s="0" t="e">
        <f aca="false">Bloomberg_load!I20</f>
        <v>#NAME?</v>
      </c>
      <c r="G20" s="0" t="e">
        <f aca="false">IF(OR(LEFT(F20,1)="#",LEFT(E20,1)="#",LEFT(D20,1)="#"),0,1)</f>
        <v>#NAME?</v>
      </c>
      <c r="I20" s="0" t="str">
        <f aca="false">Bloomberg_load!C20</f>
        <v>FED3</v>
      </c>
    </row>
    <row r="21" customFormat="false" ht="15" hidden="false" customHeight="false" outlineLevel="0" collapsed="false">
      <c r="A21" s="0" t="str">
        <f aca="false">Bloomberg_load!D21</f>
        <v>sofr</v>
      </c>
      <c r="B21" s="0" t="str">
        <f aca="false">Bloomberg_load!E21</f>
        <v>IRS</v>
      </c>
      <c r="C21" s="0" t="str">
        <f aca="false">Bloomberg_load!F21</f>
        <v>CBOIS</v>
      </c>
      <c r="D21" s="1" t="e">
        <f aca="false">Bloomberg_load!G21</f>
        <v>#NAME?</v>
      </c>
      <c r="E21" s="1" t="e">
        <f aca="false">Bloomberg_load!H21</f>
        <v>#NAME?</v>
      </c>
      <c r="F21" s="0" t="e">
        <f aca="false">Bloomberg_load!I21</f>
        <v>#NAME?</v>
      </c>
      <c r="G21" s="0" t="e">
        <f aca="false">IF(OR(LEFT(F21,1)="#",LEFT(E21,1)="#",LEFT(D21,1)="#"),0,1)</f>
        <v>#NAME?</v>
      </c>
      <c r="I21" s="0" t="str">
        <f aca="false">Bloomberg_load!C21</f>
        <v>FED4</v>
      </c>
    </row>
    <row r="22" customFormat="false" ht="15" hidden="false" customHeight="false" outlineLevel="0" collapsed="false">
      <c r="A22" s="0" t="str">
        <f aca="false">Bloomberg_load!D22</f>
        <v>sofr</v>
      </c>
      <c r="B22" s="0" t="str">
        <f aca="false">Bloomberg_load!E22</f>
        <v>IRS</v>
      </c>
      <c r="C22" s="0" t="str">
        <f aca="false">Bloomberg_load!F22</f>
        <v>CBOIS</v>
      </c>
      <c r="D22" s="1" t="e">
        <f aca="false">Bloomberg_load!G22</f>
        <v>#NAME?</v>
      </c>
      <c r="E22" s="1" t="e">
        <f aca="false">Bloomberg_load!H22</f>
        <v>#NAME?</v>
      </c>
      <c r="F22" s="0" t="e">
        <f aca="false">Bloomberg_load!I22</f>
        <v>#NAME?</v>
      </c>
      <c r="G22" s="0" t="e">
        <f aca="false">IF(OR(LEFT(F22,1)="#",LEFT(E22,1)="#",LEFT(D22,1)="#"),0,1)</f>
        <v>#NAME?</v>
      </c>
      <c r="I22" s="0" t="str">
        <f aca="false">Bloomberg_load!C22</f>
        <v>FED5</v>
      </c>
    </row>
    <row r="23" customFormat="false" ht="15" hidden="false" customHeight="false" outlineLevel="0" collapsed="false">
      <c r="A23" s="0" t="str">
        <f aca="false">Bloomberg_load!D23</f>
        <v>sofr</v>
      </c>
      <c r="B23" s="0" t="str">
        <f aca="false">Bloomberg_load!E23</f>
        <v>IRS</v>
      </c>
      <c r="C23" s="0" t="str">
        <f aca="false">Bloomberg_load!F23</f>
        <v>CBOIS</v>
      </c>
      <c r="D23" s="1" t="e">
        <f aca="false">Bloomberg_load!G23</f>
        <v>#NAME?</v>
      </c>
      <c r="E23" s="1" t="e">
        <f aca="false">Bloomberg_load!H23</f>
        <v>#NAME?</v>
      </c>
      <c r="F23" s="0" t="e">
        <f aca="false">Bloomberg_load!I23</f>
        <v>#NAME?</v>
      </c>
      <c r="G23" s="0" t="e">
        <f aca="false">IF(OR(LEFT(F23,1)="#",LEFT(E23,1)="#",LEFT(D23,1)="#"),0,1)</f>
        <v>#NAME?</v>
      </c>
      <c r="I23" s="0" t="str">
        <f aca="false">Bloomberg_load!C23</f>
        <v>FED6</v>
      </c>
    </row>
    <row r="24" customFormat="false" ht="15" hidden="false" customHeight="false" outlineLevel="0" collapsed="false">
      <c r="A24" s="0" t="str">
        <f aca="false">Bloomberg_load!D24</f>
        <v>sofr</v>
      </c>
      <c r="B24" s="0" t="str">
        <f aca="false">Bloomberg_load!E24</f>
        <v>IRS</v>
      </c>
      <c r="C24" s="0" t="str">
        <f aca="false">Bloomberg_load!F24</f>
        <v>CBOIS</v>
      </c>
      <c r="D24" s="1" t="e">
        <f aca="false">Bloomberg_load!G24</f>
        <v>#NAME?</v>
      </c>
      <c r="E24" s="1" t="e">
        <f aca="false">Bloomberg_load!H24</f>
        <v>#NAME?</v>
      </c>
      <c r="F24" s="0" t="e">
        <f aca="false">Bloomberg_load!I24</f>
        <v>#NAME?</v>
      </c>
      <c r="G24" s="0" t="e">
        <f aca="false">IF(OR(LEFT(F24,1)="#",LEFT(E24,1)="#",LEFT(D24,1)="#"),0,1)</f>
        <v>#NAME?</v>
      </c>
      <c r="I24" s="0" t="str">
        <f aca="false">Bloomberg_load!C24</f>
        <v>FED7</v>
      </c>
    </row>
    <row r="25" customFormat="false" ht="15" hidden="false" customHeight="false" outlineLevel="0" collapsed="false">
      <c r="A25" s="0" t="str">
        <f aca="false">Bloomberg_load!D25</f>
        <v>sofr</v>
      </c>
      <c r="B25" s="0" t="str">
        <f aca="false">Bloomberg_load!E25</f>
        <v>IRS</v>
      </c>
      <c r="C25" s="0" t="str">
        <f aca="false">Bloomberg_load!F25</f>
        <v>CBOIS</v>
      </c>
      <c r="D25" s="1" t="e">
        <f aca="false">Bloomberg_load!G25</f>
        <v>#NAME?</v>
      </c>
      <c r="E25" s="1" t="e">
        <f aca="false">Bloomberg_load!H25</f>
        <v>#NAME?</v>
      </c>
      <c r="F25" s="0" t="e">
        <f aca="false">Bloomberg_load!I25</f>
        <v>#NAME?</v>
      </c>
      <c r="G25" s="0" t="e">
        <f aca="false">IF(OR(LEFT(F25,1)="#",LEFT(E25,1)="#",LEFT(D25,1)="#"),0,1)</f>
        <v>#NAME?</v>
      </c>
      <c r="I25" s="0" t="str">
        <f aca="false">Bloomberg_load!C25</f>
        <v>FED8</v>
      </c>
    </row>
    <row r="26" customFormat="false" ht="15" hidden="false" customHeight="false" outlineLevel="0" collapsed="false">
      <c r="A26" s="0" t="str">
        <f aca="false">Bloomberg_load!D26</f>
        <v>estr</v>
      </c>
      <c r="B26" s="0" t="str">
        <f aca="false">Bloomberg_load!E26</f>
        <v>IRS</v>
      </c>
      <c r="C26" s="0" t="str">
        <f aca="false">Bloomberg_load!F26</f>
        <v>OIS</v>
      </c>
      <c r="D26" s="1" t="e">
        <f aca="false">Bloomberg_load!G26</f>
        <v>#NAME?</v>
      </c>
      <c r="E26" s="1" t="e">
        <f aca="false">Bloomberg_load!H26</f>
        <v>#NAME?</v>
      </c>
      <c r="F26" s="0" t="e">
        <f aca="false">Bloomberg_load!I26</f>
        <v>#NAME?</v>
      </c>
      <c r="G26" s="0" t="e">
        <f aca="false">IF(OR(LEFT(F26,1)="#",LEFT(E26,1)="#",LEFT(D26,1)="#"),0,1)</f>
        <v>#NAME?</v>
      </c>
      <c r="I26" s="0" t="str">
        <f aca="false">Bloomberg_load!C26</f>
        <v>1M</v>
      </c>
    </row>
    <row r="27" customFormat="false" ht="15" hidden="false" customHeight="false" outlineLevel="0" collapsed="false">
      <c r="A27" s="0" t="str">
        <f aca="false">Bloomberg_load!D27</f>
        <v>estr</v>
      </c>
      <c r="B27" s="0" t="str">
        <f aca="false">Bloomberg_load!E27</f>
        <v>IRS</v>
      </c>
      <c r="C27" s="0" t="str">
        <f aca="false">Bloomberg_load!F27</f>
        <v>OIS</v>
      </c>
      <c r="D27" s="1" t="e">
        <f aca="false">Bloomberg_load!G27</f>
        <v>#NAME?</v>
      </c>
      <c r="E27" s="1" t="e">
        <f aca="false">Bloomberg_load!H27</f>
        <v>#NAME?</v>
      </c>
      <c r="F27" s="0" t="e">
        <f aca="false">Bloomberg_load!I27</f>
        <v>#NAME?</v>
      </c>
      <c r="G27" s="0" t="e">
        <f aca="false">IF(OR(LEFT(F27,1)="#",LEFT(E27,1)="#",LEFT(D27,1)="#"),0,1)</f>
        <v>#NAME?</v>
      </c>
      <c r="I27" s="0" t="str">
        <f aca="false">Bloomberg_load!C27</f>
        <v>2M</v>
      </c>
    </row>
    <row r="28" customFormat="false" ht="15" hidden="false" customHeight="false" outlineLevel="0" collapsed="false">
      <c r="A28" s="0" t="str">
        <f aca="false">Bloomberg_load!D28</f>
        <v>estr</v>
      </c>
      <c r="B28" s="0" t="str">
        <f aca="false">Bloomberg_load!E28</f>
        <v>IRS</v>
      </c>
      <c r="C28" s="0" t="str">
        <f aca="false">Bloomberg_load!F28</f>
        <v>OIS</v>
      </c>
      <c r="D28" s="1" t="e">
        <f aca="false">Bloomberg_load!G28</f>
        <v>#NAME?</v>
      </c>
      <c r="E28" s="1" t="e">
        <f aca="false">Bloomberg_load!H28</f>
        <v>#NAME?</v>
      </c>
      <c r="F28" s="0" t="e">
        <f aca="false">Bloomberg_load!I28</f>
        <v>#NAME?</v>
      </c>
      <c r="G28" s="0" t="e">
        <f aca="false">IF(OR(LEFT(F28,1)="#",LEFT(E28,1)="#",LEFT(D28,1)="#"),0,1)</f>
        <v>#NAME?</v>
      </c>
      <c r="I28" s="0" t="str">
        <f aca="false">Bloomberg_load!C28</f>
        <v>3M</v>
      </c>
    </row>
    <row r="29" customFormat="false" ht="15" hidden="false" customHeight="false" outlineLevel="0" collapsed="false">
      <c r="A29" s="0" t="str">
        <f aca="false">Bloomberg_load!D29</f>
        <v>estr</v>
      </c>
      <c r="B29" s="0" t="str">
        <f aca="false">Bloomberg_load!E29</f>
        <v>IRS</v>
      </c>
      <c r="C29" s="0" t="str">
        <f aca="false">Bloomberg_load!F29</f>
        <v>OIS</v>
      </c>
      <c r="D29" s="1" t="e">
        <f aca="false">Bloomberg_load!G29</f>
        <v>#NAME?</v>
      </c>
      <c r="E29" s="1" t="e">
        <f aca="false">Bloomberg_load!H29</f>
        <v>#NAME?</v>
      </c>
      <c r="F29" s="0" t="e">
        <f aca="false">Bloomberg_load!I29</f>
        <v>#NAME?</v>
      </c>
      <c r="G29" s="0" t="e">
        <f aca="false">IF(OR(LEFT(F29,1)="#",LEFT(E29,1)="#",LEFT(D29,1)="#"),0,1)</f>
        <v>#NAME?</v>
      </c>
      <c r="I29" s="0" t="str">
        <f aca="false">Bloomberg_load!C29</f>
        <v>4M</v>
      </c>
    </row>
    <row r="30" customFormat="false" ht="15" hidden="false" customHeight="false" outlineLevel="0" collapsed="false">
      <c r="A30" s="0" t="str">
        <f aca="false">Bloomberg_load!D30</f>
        <v>estr</v>
      </c>
      <c r="B30" s="0" t="str">
        <f aca="false">Bloomberg_load!E30</f>
        <v>IRS</v>
      </c>
      <c r="C30" s="0" t="str">
        <f aca="false">Bloomberg_load!F30</f>
        <v>OIS</v>
      </c>
      <c r="D30" s="1" t="e">
        <f aca="false">Bloomberg_load!G30</f>
        <v>#NAME?</v>
      </c>
      <c r="E30" s="1" t="e">
        <f aca="false">Bloomberg_load!H30</f>
        <v>#NAME?</v>
      </c>
      <c r="F30" s="0" t="e">
        <f aca="false">Bloomberg_load!I30</f>
        <v>#NAME?</v>
      </c>
      <c r="G30" s="0" t="e">
        <f aca="false">IF(OR(LEFT(F30,1)="#",LEFT(E30,1)="#",LEFT(D30,1)="#"),0,1)</f>
        <v>#NAME?</v>
      </c>
      <c r="I30" s="0" t="str">
        <f aca="false">Bloomberg_load!C30</f>
        <v>5M</v>
      </c>
    </row>
    <row r="31" customFormat="false" ht="15" hidden="false" customHeight="false" outlineLevel="0" collapsed="false">
      <c r="A31" s="0" t="str">
        <f aca="false">Bloomberg_load!D31</f>
        <v>estr</v>
      </c>
      <c r="B31" s="0" t="str">
        <f aca="false">Bloomberg_load!E31</f>
        <v>IRS</v>
      </c>
      <c r="C31" s="0" t="str">
        <f aca="false">Bloomberg_load!F31</f>
        <v>OIS</v>
      </c>
      <c r="D31" s="1" t="e">
        <f aca="false">Bloomberg_load!G31</f>
        <v>#NAME?</v>
      </c>
      <c r="E31" s="1" t="e">
        <f aca="false">Bloomberg_load!H31</f>
        <v>#NAME?</v>
      </c>
      <c r="F31" s="0" t="e">
        <f aca="false">Bloomberg_load!I31</f>
        <v>#NAME?</v>
      </c>
      <c r="G31" s="0" t="e">
        <f aca="false">IF(OR(LEFT(F31,1)="#",LEFT(E31,1)="#",LEFT(D31,1)="#"),0,1)</f>
        <v>#NAME?</v>
      </c>
      <c r="I31" s="0" t="str">
        <f aca="false">Bloomberg_load!C31</f>
        <v>6M</v>
      </c>
    </row>
    <row r="32" customFormat="false" ht="15" hidden="false" customHeight="false" outlineLevel="0" collapsed="false">
      <c r="A32" s="0" t="str">
        <f aca="false">Bloomberg_load!D32</f>
        <v>estr</v>
      </c>
      <c r="B32" s="0" t="str">
        <f aca="false">Bloomberg_load!E32</f>
        <v>IRS</v>
      </c>
      <c r="C32" s="0" t="str">
        <f aca="false">Bloomberg_load!F32</f>
        <v>OIS</v>
      </c>
      <c r="D32" s="1" t="e">
        <f aca="false">Bloomberg_load!G32</f>
        <v>#NAME?</v>
      </c>
      <c r="E32" s="1" t="e">
        <f aca="false">Bloomberg_load!H32</f>
        <v>#NAME?</v>
      </c>
      <c r="F32" s="0" t="e">
        <f aca="false">Bloomberg_load!I32</f>
        <v>#NAME?</v>
      </c>
      <c r="G32" s="0" t="e">
        <f aca="false">IF(OR(LEFT(F32,1)="#",LEFT(E32,1)="#",LEFT(D32,1)="#"),0,1)</f>
        <v>#NAME?</v>
      </c>
      <c r="I32" s="0" t="str">
        <f aca="false">Bloomberg_load!C32</f>
        <v>7M</v>
      </c>
    </row>
    <row r="33" customFormat="false" ht="15" hidden="false" customHeight="false" outlineLevel="0" collapsed="false">
      <c r="A33" s="0" t="str">
        <f aca="false">Bloomberg_load!D33</f>
        <v>estr</v>
      </c>
      <c r="B33" s="0" t="str">
        <f aca="false">Bloomberg_load!E33</f>
        <v>IRS</v>
      </c>
      <c r="C33" s="0" t="str">
        <f aca="false">Bloomberg_load!F33</f>
        <v>OIS</v>
      </c>
      <c r="D33" s="1" t="e">
        <f aca="false">Bloomberg_load!G33</f>
        <v>#NAME?</v>
      </c>
      <c r="E33" s="1" t="e">
        <f aca="false">Bloomberg_load!H33</f>
        <v>#NAME?</v>
      </c>
      <c r="F33" s="0" t="e">
        <f aca="false">Bloomberg_load!I33</f>
        <v>#NAME?</v>
      </c>
      <c r="G33" s="0" t="e">
        <f aca="false">IF(OR(LEFT(F33,1)="#",LEFT(E33,1)="#",LEFT(D33,1)="#"),0,1)</f>
        <v>#NAME?</v>
      </c>
      <c r="I33" s="0" t="str">
        <f aca="false">Bloomberg_load!C33</f>
        <v>8M</v>
      </c>
    </row>
    <row r="34" customFormat="false" ht="15" hidden="false" customHeight="false" outlineLevel="0" collapsed="false">
      <c r="A34" s="0" t="str">
        <f aca="false">Bloomberg_load!D34</f>
        <v>estr</v>
      </c>
      <c r="B34" s="0" t="str">
        <f aca="false">Bloomberg_load!E34</f>
        <v>IRS</v>
      </c>
      <c r="C34" s="0" t="str">
        <f aca="false">Bloomberg_load!F34</f>
        <v>OIS</v>
      </c>
      <c r="D34" s="1" t="e">
        <f aca="false">Bloomberg_load!G34</f>
        <v>#NAME?</v>
      </c>
      <c r="E34" s="1" t="e">
        <f aca="false">Bloomberg_load!H34</f>
        <v>#NAME?</v>
      </c>
      <c r="F34" s="0" t="e">
        <f aca="false">Bloomberg_load!I34</f>
        <v>#NAME?</v>
      </c>
      <c r="G34" s="0" t="e">
        <f aca="false">IF(OR(LEFT(F34,1)="#",LEFT(E34,1)="#",LEFT(D34,1)="#"),0,1)</f>
        <v>#NAME?</v>
      </c>
      <c r="I34" s="0" t="str">
        <f aca="false">Bloomberg_load!C34</f>
        <v>9M</v>
      </c>
    </row>
    <row r="35" customFormat="false" ht="15" hidden="false" customHeight="false" outlineLevel="0" collapsed="false">
      <c r="A35" s="0" t="str">
        <f aca="false">Bloomberg_load!D35</f>
        <v>estr</v>
      </c>
      <c r="B35" s="0" t="str">
        <f aca="false">Bloomberg_load!E35</f>
        <v>IRS</v>
      </c>
      <c r="C35" s="0" t="str">
        <f aca="false">Bloomberg_load!F35</f>
        <v>OIS</v>
      </c>
      <c r="D35" s="1" t="e">
        <f aca="false">Bloomberg_load!G35</f>
        <v>#NAME?</v>
      </c>
      <c r="E35" s="1" t="e">
        <f aca="false">Bloomberg_load!H35</f>
        <v>#NAME?</v>
      </c>
      <c r="F35" s="0" t="e">
        <f aca="false">Bloomberg_load!I35</f>
        <v>#NAME?</v>
      </c>
      <c r="G35" s="0" t="e">
        <f aca="false">IF(OR(LEFT(F35,1)="#",LEFT(E35,1)="#",LEFT(D35,1)="#"),0,1)</f>
        <v>#NAME?</v>
      </c>
      <c r="I35" s="0" t="str">
        <f aca="false">Bloomberg_load!C35</f>
        <v>10M</v>
      </c>
    </row>
    <row r="36" customFormat="false" ht="15" hidden="false" customHeight="false" outlineLevel="0" collapsed="false">
      <c r="A36" s="0" t="str">
        <f aca="false">Bloomberg_load!D36</f>
        <v>estr</v>
      </c>
      <c r="B36" s="0" t="str">
        <f aca="false">Bloomberg_load!E36</f>
        <v>IRS</v>
      </c>
      <c r="C36" s="0" t="str">
        <f aca="false">Bloomberg_load!F36</f>
        <v>OIS</v>
      </c>
      <c r="D36" s="1" t="e">
        <f aca="false">Bloomberg_load!G36</f>
        <v>#NAME?</v>
      </c>
      <c r="E36" s="1" t="e">
        <f aca="false">Bloomberg_load!H36</f>
        <v>#NAME?</v>
      </c>
      <c r="F36" s="0" t="e">
        <f aca="false">Bloomberg_load!I36</f>
        <v>#NAME?</v>
      </c>
      <c r="G36" s="0" t="e">
        <f aca="false">IF(OR(LEFT(F36,1)="#",LEFT(E36,1)="#",LEFT(D36,1)="#"),0,1)</f>
        <v>#NAME?</v>
      </c>
      <c r="I36" s="0" t="str">
        <f aca="false">Bloomberg_load!C36</f>
        <v>11M</v>
      </c>
    </row>
    <row r="37" customFormat="false" ht="15" hidden="false" customHeight="false" outlineLevel="0" collapsed="false">
      <c r="A37" s="0" t="str">
        <f aca="false">Bloomberg_load!D37</f>
        <v>estr</v>
      </c>
      <c r="B37" s="0" t="str">
        <f aca="false">Bloomberg_load!E37</f>
        <v>IRS</v>
      </c>
      <c r="C37" s="0" t="str">
        <f aca="false">Bloomberg_load!F37</f>
        <v>OIS</v>
      </c>
      <c r="D37" s="1" t="e">
        <f aca="false">Bloomberg_load!G37</f>
        <v>#NAME?</v>
      </c>
      <c r="E37" s="1" t="e">
        <f aca="false">Bloomberg_load!H37</f>
        <v>#NAME?</v>
      </c>
      <c r="F37" s="0" t="e">
        <f aca="false">Bloomberg_load!I37</f>
        <v>#NAME?</v>
      </c>
      <c r="G37" s="0" t="e">
        <f aca="false">IF(OR(LEFT(F37,1)="#",LEFT(E37,1)="#",LEFT(D37,1)="#"),0,1)</f>
        <v>#NAME?</v>
      </c>
      <c r="I37" s="0" t="str">
        <f aca="false">Bloomberg_load!C37</f>
        <v>1Y</v>
      </c>
    </row>
    <row r="38" customFormat="false" ht="15" hidden="false" customHeight="false" outlineLevel="0" collapsed="false">
      <c r="A38" s="0" t="str">
        <f aca="false">Bloomberg_load!D38</f>
        <v>estr</v>
      </c>
      <c r="B38" s="0" t="str">
        <f aca="false">Bloomberg_load!E38</f>
        <v>IRS</v>
      </c>
      <c r="C38" s="0" t="str">
        <f aca="false">Bloomberg_load!F38</f>
        <v>OIS</v>
      </c>
      <c r="D38" s="1" t="e">
        <f aca="false">Bloomberg_load!G38</f>
        <v>#NAME?</v>
      </c>
      <c r="E38" s="1" t="e">
        <f aca="false">Bloomberg_load!H38</f>
        <v>#NAME?</v>
      </c>
      <c r="F38" s="0" t="e">
        <f aca="false">Bloomberg_load!I38</f>
        <v>#NAME?</v>
      </c>
      <c r="G38" s="0" t="e">
        <f aca="false">IF(OR(LEFT(F38,1)="#",LEFT(E38,1)="#",LEFT(D38,1)="#"),0,1)</f>
        <v>#NAME?</v>
      </c>
      <c r="I38" s="0" t="str">
        <f aca="false">Bloomberg_load!C38</f>
        <v>2Y</v>
      </c>
    </row>
    <row r="39" customFormat="false" ht="15" hidden="false" customHeight="false" outlineLevel="0" collapsed="false">
      <c r="A39" s="0" t="str">
        <f aca="false">Bloomberg_load!D39</f>
        <v>estr</v>
      </c>
      <c r="B39" s="0" t="str">
        <f aca="false">Bloomberg_load!E39</f>
        <v>IRS</v>
      </c>
      <c r="C39" s="0" t="str">
        <f aca="false">Bloomberg_load!F39</f>
        <v>OIS</v>
      </c>
      <c r="D39" s="1" t="e">
        <f aca="false">Bloomberg_load!G39</f>
        <v>#NAME?</v>
      </c>
      <c r="E39" s="1" t="e">
        <f aca="false">Bloomberg_load!H39</f>
        <v>#NAME?</v>
      </c>
      <c r="F39" s="0" t="e">
        <f aca="false">Bloomberg_load!I39</f>
        <v>#NAME?</v>
      </c>
      <c r="G39" s="0" t="e">
        <f aca="false">IF(OR(LEFT(F39,1)="#",LEFT(E39,1)="#",LEFT(D39,1)="#"),0,1)</f>
        <v>#NAME?</v>
      </c>
      <c r="I39" s="0" t="str">
        <f aca="false">Bloomberg_load!C39</f>
        <v>3Y</v>
      </c>
    </row>
    <row r="40" customFormat="false" ht="15" hidden="false" customHeight="false" outlineLevel="0" collapsed="false">
      <c r="A40" s="0" t="str">
        <f aca="false">Bloomberg_load!D40</f>
        <v>estr</v>
      </c>
      <c r="B40" s="0" t="str">
        <f aca="false">Bloomberg_load!E40</f>
        <v>IRS</v>
      </c>
      <c r="C40" s="0" t="str">
        <f aca="false">Bloomberg_load!F40</f>
        <v>OIS</v>
      </c>
      <c r="D40" s="1" t="e">
        <f aca="false">Bloomberg_load!G40</f>
        <v>#NAME?</v>
      </c>
      <c r="E40" s="1" t="e">
        <f aca="false">Bloomberg_load!H40</f>
        <v>#NAME?</v>
      </c>
      <c r="F40" s="0" t="e">
        <f aca="false">Bloomberg_load!I40</f>
        <v>#NAME?</v>
      </c>
      <c r="G40" s="0" t="e">
        <f aca="false">IF(OR(LEFT(F40,1)="#",LEFT(E40,1)="#",LEFT(D40,1)="#"),0,1)</f>
        <v>#NAME?</v>
      </c>
      <c r="I40" s="0" t="str">
        <f aca="false">Bloomberg_load!C40</f>
        <v>4Y</v>
      </c>
    </row>
    <row r="41" customFormat="false" ht="15" hidden="false" customHeight="false" outlineLevel="0" collapsed="false">
      <c r="A41" s="0" t="str">
        <f aca="false">Bloomberg_load!D41</f>
        <v>estr</v>
      </c>
      <c r="B41" s="0" t="str">
        <f aca="false">Bloomberg_load!E41</f>
        <v>IRS</v>
      </c>
      <c r="C41" s="0" t="str">
        <f aca="false">Bloomberg_load!F41</f>
        <v>OIS</v>
      </c>
      <c r="D41" s="1" t="e">
        <f aca="false">Bloomberg_load!G41</f>
        <v>#NAME?</v>
      </c>
      <c r="E41" s="1" t="e">
        <f aca="false">Bloomberg_load!H41</f>
        <v>#NAME?</v>
      </c>
      <c r="F41" s="0" t="e">
        <f aca="false">Bloomberg_load!I41</f>
        <v>#NAME?</v>
      </c>
      <c r="G41" s="0" t="e">
        <f aca="false">IF(OR(LEFT(F41,1)="#",LEFT(E41,1)="#",LEFT(D41,1)="#"),0,1)</f>
        <v>#NAME?</v>
      </c>
      <c r="I41" s="0" t="str">
        <f aca="false">Bloomberg_load!C41</f>
        <v>5Y</v>
      </c>
    </row>
    <row r="42" customFormat="false" ht="15" hidden="false" customHeight="false" outlineLevel="0" collapsed="false">
      <c r="A42" s="0" t="str">
        <f aca="false">Bloomberg_load!D42</f>
        <v>estr</v>
      </c>
      <c r="B42" s="0" t="str">
        <f aca="false">Bloomberg_load!E42</f>
        <v>IRS</v>
      </c>
      <c r="C42" s="0" t="str">
        <f aca="false">Bloomberg_load!F42</f>
        <v>OIS</v>
      </c>
      <c r="D42" s="1" t="e">
        <f aca="false">Bloomberg_load!G42</f>
        <v>#NAME?</v>
      </c>
      <c r="E42" s="1" t="e">
        <f aca="false">Bloomberg_load!H42</f>
        <v>#NAME?</v>
      </c>
      <c r="F42" s="0" t="e">
        <f aca="false">Bloomberg_load!I42</f>
        <v>#NAME?</v>
      </c>
      <c r="G42" s="0" t="e">
        <f aca="false">IF(OR(LEFT(F42,1)="#",LEFT(E42,1)="#",LEFT(D42,1)="#"),0,1)</f>
        <v>#NAME?</v>
      </c>
      <c r="I42" s="0" t="str">
        <f aca="false">Bloomberg_load!C42</f>
        <v>ECB0</v>
      </c>
    </row>
    <row r="43" customFormat="false" ht="15" hidden="false" customHeight="false" outlineLevel="0" collapsed="false">
      <c r="A43" s="0" t="str">
        <f aca="false">Bloomberg_load!D43</f>
        <v>estr</v>
      </c>
      <c r="B43" s="0" t="str">
        <f aca="false">Bloomberg_load!E43</f>
        <v>IRS</v>
      </c>
      <c r="C43" s="0" t="str">
        <f aca="false">Bloomberg_load!F43</f>
        <v>CBOIS</v>
      </c>
      <c r="D43" s="1" t="e">
        <f aca="false">Bloomberg_load!G43</f>
        <v>#NAME?</v>
      </c>
      <c r="E43" s="1" t="e">
        <f aca="false">Bloomberg_load!H43</f>
        <v>#NAME?</v>
      </c>
      <c r="F43" s="0" t="e">
        <f aca="false">Bloomberg_load!I43</f>
        <v>#NAME?</v>
      </c>
      <c r="G43" s="0" t="e">
        <f aca="false">IF(OR(LEFT(F43,1)="#",LEFT(E43,1)="#",LEFT(D43,1)="#"),0,1)</f>
        <v>#NAME?</v>
      </c>
      <c r="I43" s="0" t="str">
        <f aca="false">Bloomberg_load!C43</f>
        <v>ECB1</v>
      </c>
    </row>
    <row r="44" customFormat="false" ht="15" hidden="false" customHeight="false" outlineLevel="0" collapsed="false">
      <c r="A44" s="0" t="str">
        <f aca="false">Bloomberg_load!D44</f>
        <v>estr</v>
      </c>
      <c r="B44" s="0" t="str">
        <f aca="false">Bloomberg_load!E44</f>
        <v>IRS</v>
      </c>
      <c r="C44" s="0" t="str">
        <f aca="false">Bloomberg_load!F44</f>
        <v>CBOIS</v>
      </c>
      <c r="D44" s="1" t="e">
        <f aca="false">Bloomberg_load!G44</f>
        <v>#NAME?</v>
      </c>
      <c r="E44" s="1" t="e">
        <f aca="false">Bloomberg_load!H44</f>
        <v>#NAME?</v>
      </c>
      <c r="F44" s="0" t="e">
        <f aca="false">Bloomberg_load!I44</f>
        <v>#NAME?</v>
      </c>
      <c r="G44" s="0" t="e">
        <f aca="false">IF(OR(LEFT(F44,1)="#",LEFT(E44,1)="#",LEFT(D44,1)="#"),0,1)</f>
        <v>#NAME?</v>
      </c>
      <c r="I44" s="0" t="str">
        <f aca="false">Bloomberg_load!C44</f>
        <v>ECB2</v>
      </c>
    </row>
    <row r="45" customFormat="false" ht="15" hidden="false" customHeight="false" outlineLevel="0" collapsed="false">
      <c r="A45" s="0" t="str">
        <f aca="false">Bloomberg_load!D45</f>
        <v>estr</v>
      </c>
      <c r="B45" s="0" t="str">
        <f aca="false">Bloomberg_load!E45</f>
        <v>IRS</v>
      </c>
      <c r="C45" s="0" t="str">
        <f aca="false">Bloomberg_load!F45</f>
        <v>CBOIS</v>
      </c>
      <c r="D45" s="1" t="e">
        <f aca="false">Bloomberg_load!G45</f>
        <v>#NAME?</v>
      </c>
      <c r="E45" s="1" t="e">
        <f aca="false">Bloomberg_load!H45</f>
        <v>#NAME?</v>
      </c>
      <c r="F45" s="0" t="e">
        <f aca="false">Bloomberg_load!I45</f>
        <v>#NAME?</v>
      </c>
      <c r="G45" s="0" t="e">
        <f aca="false">IF(OR(LEFT(F45,1)="#",LEFT(E45,1)="#",LEFT(D45,1)="#"),0,1)</f>
        <v>#NAME?</v>
      </c>
      <c r="I45" s="0" t="str">
        <f aca="false">Bloomberg_load!C45</f>
        <v>ECB3</v>
      </c>
    </row>
    <row r="46" customFormat="false" ht="15" hidden="false" customHeight="false" outlineLevel="0" collapsed="false">
      <c r="A46" s="0" t="str">
        <f aca="false">Bloomberg_load!D46</f>
        <v>estr</v>
      </c>
      <c r="B46" s="0" t="str">
        <f aca="false">Bloomberg_load!E46</f>
        <v>IRS</v>
      </c>
      <c r="C46" s="0" t="str">
        <f aca="false">Bloomberg_load!F46</f>
        <v>CBOIS</v>
      </c>
      <c r="D46" s="1" t="e">
        <f aca="false">Bloomberg_load!G46</f>
        <v>#NAME?</v>
      </c>
      <c r="E46" s="1" t="e">
        <f aca="false">Bloomberg_load!H46</f>
        <v>#NAME?</v>
      </c>
      <c r="F46" s="0" t="e">
        <f aca="false">Bloomberg_load!I46</f>
        <v>#NAME?</v>
      </c>
      <c r="G46" s="0" t="e">
        <f aca="false">IF(OR(LEFT(F46,1)="#",LEFT(E46,1)="#",LEFT(D46,1)="#"),0,1)</f>
        <v>#NAME?</v>
      </c>
      <c r="I46" s="0" t="str">
        <f aca="false">Bloomberg_load!C46</f>
        <v>ECB4</v>
      </c>
    </row>
    <row r="47" customFormat="false" ht="15" hidden="false" customHeight="false" outlineLevel="0" collapsed="false">
      <c r="A47" s="0" t="str">
        <f aca="false">Bloomberg_load!D47</f>
        <v>estr</v>
      </c>
      <c r="B47" s="0" t="str">
        <f aca="false">Bloomberg_load!E47</f>
        <v>IRS</v>
      </c>
      <c r="C47" s="0" t="str">
        <f aca="false">Bloomberg_load!F47</f>
        <v>CBOIS</v>
      </c>
      <c r="D47" s="1" t="e">
        <f aca="false">Bloomberg_load!G47</f>
        <v>#NAME?</v>
      </c>
      <c r="E47" s="1" t="e">
        <f aca="false">Bloomberg_load!H47</f>
        <v>#NAME?</v>
      </c>
      <c r="F47" s="0" t="e">
        <f aca="false">Bloomberg_load!I47</f>
        <v>#NAME?</v>
      </c>
      <c r="G47" s="0" t="e">
        <f aca="false">IF(OR(LEFT(F47,1)="#",LEFT(E47,1)="#",LEFT(D47,1)="#"),0,1)</f>
        <v>#NAME?</v>
      </c>
      <c r="I47" s="0" t="str">
        <f aca="false">Bloomberg_load!C47</f>
        <v>ECB5</v>
      </c>
    </row>
    <row r="48" customFormat="false" ht="15" hidden="false" customHeight="false" outlineLevel="0" collapsed="false">
      <c r="A48" s="0" t="str">
        <f aca="false">Bloomberg_load!D48</f>
        <v>estr</v>
      </c>
      <c r="B48" s="0" t="str">
        <f aca="false">Bloomberg_load!E48</f>
        <v>IRS</v>
      </c>
      <c r="C48" s="0" t="str">
        <f aca="false">Bloomberg_load!F48</f>
        <v>CBOIS</v>
      </c>
      <c r="D48" s="1" t="e">
        <f aca="false">Bloomberg_load!G48</f>
        <v>#NAME?</v>
      </c>
      <c r="E48" s="1" t="e">
        <f aca="false">Bloomberg_load!H48</f>
        <v>#NAME?</v>
      </c>
      <c r="F48" s="0" t="e">
        <f aca="false">Bloomberg_load!I48</f>
        <v>#NAME?</v>
      </c>
      <c r="G48" s="0" t="e">
        <f aca="false">IF(OR(LEFT(F48,1)="#",LEFT(E48,1)="#",LEFT(D48,1)="#"),0,1)</f>
        <v>#NAME?</v>
      </c>
      <c r="I48" s="0" t="str">
        <f aca="false">Bloomberg_load!C48</f>
        <v>ECB6</v>
      </c>
    </row>
    <row r="49" customFormat="false" ht="15" hidden="false" customHeight="false" outlineLevel="0" collapsed="false">
      <c r="A49" s="0" t="str">
        <f aca="false">Bloomberg_load!D49</f>
        <v>estr</v>
      </c>
      <c r="B49" s="0" t="str">
        <f aca="false">Bloomberg_load!E49</f>
        <v>IRS</v>
      </c>
      <c r="C49" s="0" t="str">
        <f aca="false">Bloomberg_load!F49</f>
        <v>CBOIS</v>
      </c>
      <c r="D49" s="1" t="e">
        <f aca="false">Bloomberg_load!G49</f>
        <v>#NAME?</v>
      </c>
      <c r="E49" s="1" t="e">
        <f aca="false">Bloomberg_load!H49</f>
        <v>#NAME?</v>
      </c>
      <c r="F49" s="0" t="e">
        <f aca="false">Bloomberg_load!I49</f>
        <v>#NAME?</v>
      </c>
      <c r="G49" s="0" t="e">
        <f aca="false">IF(OR(LEFT(F49,1)="#",LEFT(E49,1)="#",LEFT(D49,1)="#"),0,1)</f>
        <v>#NAME?</v>
      </c>
      <c r="I49" s="0" t="str">
        <f aca="false">Bloomberg_load!C49</f>
        <v>ECB7</v>
      </c>
    </row>
    <row r="50" customFormat="false" ht="15" hidden="false" customHeight="false" outlineLevel="0" collapsed="false">
      <c r="A50" s="0" t="str">
        <f aca="false">Bloomberg_load!D50</f>
        <v>estr</v>
      </c>
      <c r="B50" s="0" t="str">
        <f aca="false">Bloomberg_load!E50</f>
        <v>IRS</v>
      </c>
      <c r="C50" s="0" t="str">
        <f aca="false">Bloomberg_load!F50</f>
        <v>CBOIS</v>
      </c>
      <c r="D50" s="1" t="e">
        <f aca="false">Bloomberg_load!G50</f>
        <v>#NAME?</v>
      </c>
      <c r="E50" s="1" t="e">
        <f aca="false">Bloomberg_load!H50</f>
        <v>#NAME?</v>
      </c>
      <c r="F50" s="0" t="e">
        <f aca="false">Bloomberg_load!I50</f>
        <v>#NAME?</v>
      </c>
      <c r="G50" s="0" t="e">
        <f aca="false">IF(OR(LEFT(F50,1)="#",LEFT(E50,1)="#",LEFT(D50,1)="#"),0,1)</f>
        <v>#NAME?</v>
      </c>
      <c r="I50" s="0" t="str">
        <f aca="false">Bloomberg_load!C50</f>
        <v>ECB8</v>
      </c>
    </row>
    <row r="51" customFormat="false" ht="15" hidden="false" customHeight="false" outlineLevel="0" collapsed="false">
      <c r="A51" s="0" t="str">
        <f aca="false">Bloomberg_load!D51</f>
        <v>eurusd</v>
      </c>
      <c r="B51" s="0" t="str">
        <f aca="false">Bloomberg_load!E51</f>
        <v>FXF</v>
      </c>
      <c r="C51" s="0" t="str">
        <f aca="false">Bloomberg_load!F51</f>
        <v>FXF</v>
      </c>
      <c r="D51" s="1" t="e">
        <f aca="false">Bloomberg_load!G51</f>
        <v>#NAME?</v>
      </c>
      <c r="E51" s="1" t="e">
        <f aca="false">Bloomberg_load!H51</f>
        <v>#NAME?</v>
      </c>
      <c r="F51" s="0" t="e">
        <f aca="false">Bloomberg_load!I51</f>
        <v>#NAME?</v>
      </c>
      <c r="G51" s="0" t="e">
        <f aca="false">IF(OR(LEFT(F51,1)="#",LEFT(E51,1)="#",LEFT(D51,1)="#"),0,1)</f>
        <v>#NAME?</v>
      </c>
      <c r="I51" s="0" t="str">
        <f aca="false">Bloomberg_load!C51</f>
        <v>ON</v>
      </c>
    </row>
    <row r="52" customFormat="false" ht="15" hidden="false" customHeight="false" outlineLevel="0" collapsed="false">
      <c r="A52" s="0" t="str">
        <f aca="false">Bloomberg_load!D52</f>
        <v>eurusd</v>
      </c>
      <c r="B52" s="0" t="str">
        <f aca="false">Bloomberg_load!E52</f>
        <v>FXF</v>
      </c>
      <c r="C52" s="0" t="str">
        <f aca="false">Bloomberg_load!F52</f>
        <v>FXF</v>
      </c>
      <c r="D52" s="1" t="e">
        <f aca="false">Bloomberg_load!G52</f>
        <v>#NAME?</v>
      </c>
      <c r="E52" s="1" t="e">
        <f aca="false">Bloomberg_load!H52</f>
        <v>#NAME?</v>
      </c>
      <c r="F52" s="0" t="e">
        <f aca="false">Bloomberg_load!I52</f>
        <v>#NAME?</v>
      </c>
      <c r="G52" s="0" t="e">
        <f aca="false">IF(OR(LEFT(F52,1)="#",LEFT(E52,1)="#",LEFT(D52,1)="#"),0,1)</f>
        <v>#NAME?</v>
      </c>
      <c r="I52" s="0" t="str">
        <f aca="false">Bloomberg_load!C52</f>
        <v>TN</v>
      </c>
    </row>
    <row r="53" customFormat="false" ht="15" hidden="false" customHeight="false" outlineLevel="0" collapsed="false">
      <c r="A53" s="0" t="str">
        <f aca="false">Bloomberg_load!D53</f>
        <v>eurusd</v>
      </c>
      <c r="B53" s="0" t="str">
        <f aca="false">Bloomberg_load!E53</f>
        <v>FXF</v>
      </c>
      <c r="C53" s="0" t="str">
        <f aca="false">Bloomberg_load!F53</f>
        <v>FXF</v>
      </c>
      <c r="D53" s="1" t="e">
        <f aca="false">Bloomberg_load!G53</f>
        <v>#NAME?</v>
      </c>
      <c r="E53" s="1" t="e">
        <f aca="false">Bloomberg_load!H53</f>
        <v>#NAME?</v>
      </c>
      <c r="F53" s="0" t="e">
        <f aca="false">Bloomberg_load!I53</f>
        <v>#NAME?</v>
      </c>
      <c r="G53" s="0" t="e">
        <f aca="false">IF(OR(LEFT(F53,1)="#",LEFT(E53,1)="#",LEFT(D53,1)="#"),0,1)</f>
        <v>#NAME?</v>
      </c>
      <c r="I53" s="0" t="str">
        <f aca="false">Bloomberg_load!C53</f>
        <v>SN</v>
      </c>
    </row>
    <row r="54" customFormat="false" ht="15" hidden="false" customHeight="false" outlineLevel="0" collapsed="false">
      <c r="A54" s="0" t="str">
        <f aca="false">Bloomberg_load!D54</f>
        <v>eurusd</v>
      </c>
      <c r="B54" s="0" t="str">
        <f aca="false">Bloomberg_load!E54</f>
        <v>FXF</v>
      </c>
      <c r="C54" s="0" t="str">
        <f aca="false">Bloomberg_load!F54</f>
        <v>FXF</v>
      </c>
      <c r="D54" s="1" t="e">
        <f aca="false">Bloomberg_load!G54</f>
        <v>#NAME?</v>
      </c>
      <c r="E54" s="1" t="e">
        <f aca="false">Bloomberg_load!H54</f>
        <v>#NAME?</v>
      </c>
      <c r="F54" s="0" t="e">
        <f aca="false">Bloomberg_load!I54</f>
        <v>#NAME?</v>
      </c>
      <c r="G54" s="0" t="e">
        <f aca="false">IF(OR(LEFT(F54,1)="#",LEFT(E54,1)="#",LEFT(D54,1)="#"),0,1)</f>
        <v>#NAME?</v>
      </c>
      <c r="I54" s="0" t="str">
        <f aca="false">Bloomberg_load!C54</f>
        <v>1W</v>
      </c>
    </row>
    <row r="55" customFormat="false" ht="15" hidden="false" customHeight="false" outlineLevel="0" collapsed="false">
      <c r="A55" s="0" t="str">
        <f aca="false">Bloomberg_load!D55</f>
        <v>eurusd</v>
      </c>
      <c r="B55" s="0" t="str">
        <f aca="false">Bloomberg_load!E55</f>
        <v>FXF</v>
      </c>
      <c r="C55" s="0" t="str">
        <f aca="false">Bloomberg_load!F55</f>
        <v>FXF</v>
      </c>
      <c r="D55" s="1" t="e">
        <f aca="false">Bloomberg_load!G55</f>
        <v>#NAME?</v>
      </c>
      <c r="E55" s="1" t="e">
        <f aca="false">Bloomberg_load!H55</f>
        <v>#NAME?</v>
      </c>
      <c r="F55" s="0" t="e">
        <f aca="false">Bloomberg_load!I55</f>
        <v>#NAME?</v>
      </c>
      <c r="G55" s="0" t="e">
        <f aca="false">IF(OR(LEFT(F55,1)="#",LEFT(E55,1)="#",LEFT(D55,1)="#"),0,1)</f>
        <v>#NAME?</v>
      </c>
      <c r="I55" s="0" t="str">
        <f aca="false">Bloomberg_load!C55</f>
        <v>2W</v>
      </c>
    </row>
    <row r="56" customFormat="false" ht="15" hidden="false" customHeight="false" outlineLevel="0" collapsed="false">
      <c r="A56" s="0" t="str">
        <f aca="false">Bloomberg_load!D56</f>
        <v>eurusd</v>
      </c>
      <c r="B56" s="0" t="str">
        <f aca="false">Bloomberg_load!E56</f>
        <v>FXF</v>
      </c>
      <c r="C56" s="0" t="str">
        <f aca="false">Bloomberg_load!F56</f>
        <v>FXF</v>
      </c>
      <c r="D56" s="1" t="e">
        <f aca="false">Bloomberg_load!G56</f>
        <v>#NAME?</v>
      </c>
      <c r="E56" s="1" t="e">
        <f aca="false">Bloomberg_load!H56</f>
        <v>#NAME?</v>
      </c>
      <c r="F56" s="0" t="e">
        <f aca="false">Bloomberg_load!I56</f>
        <v>#NAME?</v>
      </c>
      <c r="G56" s="0" t="e">
        <f aca="false">IF(OR(LEFT(F56,1)="#",LEFT(E56,1)="#",LEFT(D56,1)="#"),0,1)</f>
        <v>#NAME?</v>
      </c>
      <c r="I56" s="0" t="str">
        <f aca="false">Bloomberg_load!C56</f>
        <v>3W</v>
      </c>
    </row>
    <row r="57" customFormat="false" ht="15" hidden="false" customHeight="false" outlineLevel="0" collapsed="false">
      <c r="A57" s="0" t="str">
        <f aca="false">Bloomberg_load!D57</f>
        <v>eurusd</v>
      </c>
      <c r="B57" s="0" t="str">
        <f aca="false">Bloomberg_load!E57</f>
        <v>FXF</v>
      </c>
      <c r="C57" s="0" t="str">
        <f aca="false">Bloomberg_load!F57</f>
        <v>FXF</v>
      </c>
      <c r="D57" s="1" t="e">
        <f aca="false">Bloomberg_load!G57</f>
        <v>#NAME?</v>
      </c>
      <c r="E57" s="1" t="e">
        <f aca="false">Bloomberg_load!H57</f>
        <v>#NAME?</v>
      </c>
      <c r="F57" s="0" t="e">
        <f aca="false">Bloomberg_load!I57</f>
        <v>#NAME?</v>
      </c>
      <c r="G57" s="0" t="e">
        <f aca="false">IF(OR(LEFT(F57,1)="#",LEFT(E57,1)="#",LEFT(D57,1)="#"),0,1)</f>
        <v>#NAME?</v>
      </c>
      <c r="I57" s="0" t="str">
        <f aca="false">Bloomberg_load!C57</f>
        <v>1M</v>
      </c>
    </row>
    <row r="58" customFormat="false" ht="15" hidden="false" customHeight="false" outlineLevel="0" collapsed="false">
      <c r="A58" s="0" t="str">
        <f aca="false">Bloomberg_load!D58</f>
        <v>eurusd</v>
      </c>
      <c r="B58" s="0" t="str">
        <f aca="false">Bloomberg_load!E58</f>
        <v>FXF</v>
      </c>
      <c r="C58" s="0" t="str">
        <f aca="false">Bloomberg_load!F58</f>
        <v>FXF</v>
      </c>
      <c r="D58" s="1" t="e">
        <f aca="false">Bloomberg_load!G58</f>
        <v>#NAME?</v>
      </c>
      <c r="E58" s="1" t="e">
        <f aca="false">Bloomberg_load!H58</f>
        <v>#NAME?</v>
      </c>
      <c r="F58" s="0" t="e">
        <f aca="false">Bloomberg_load!I58</f>
        <v>#NAME?</v>
      </c>
      <c r="G58" s="0" t="e">
        <f aca="false">IF(OR(LEFT(F58,1)="#",LEFT(E58,1)="#",LEFT(D58,1)="#"),0,1)</f>
        <v>#NAME?</v>
      </c>
      <c r="I58" s="0" t="str">
        <f aca="false">Bloomberg_load!C58</f>
        <v>2M</v>
      </c>
    </row>
    <row r="59" customFormat="false" ht="15" hidden="false" customHeight="false" outlineLevel="0" collapsed="false">
      <c r="A59" s="0" t="str">
        <f aca="false">Bloomberg_load!D59</f>
        <v>eurusd</v>
      </c>
      <c r="B59" s="0" t="str">
        <f aca="false">Bloomberg_load!E59</f>
        <v>FXF</v>
      </c>
      <c r="C59" s="0" t="str">
        <f aca="false">Bloomberg_load!F59</f>
        <v>FXF</v>
      </c>
      <c r="D59" s="1" t="e">
        <f aca="false">Bloomberg_load!G59</f>
        <v>#NAME?</v>
      </c>
      <c r="E59" s="1" t="e">
        <f aca="false">Bloomberg_load!H59</f>
        <v>#NAME?</v>
      </c>
      <c r="F59" s="0" t="e">
        <f aca="false">Bloomberg_load!I59</f>
        <v>#NAME?</v>
      </c>
      <c r="G59" s="0" t="e">
        <f aca="false">IF(OR(LEFT(F59,1)="#",LEFT(E59,1)="#",LEFT(D59,1)="#"),0,1)</f>
        <v>#NAME?</v>
      </c>
      <c r="I59" s="0" t="str">
        <f aca="false">Bloomberg_load!C59</f>
        <v>3M</v>
      </c>
    </row>
    <row r="60" customFormat="false" ht="15" hidden="false" customHeight="false" outlineLevel="0" collapsed="false">
      <c r="A60" s="0" t="str">
        <f aca="false">Bloomberg_load!D60</f>
        <v>eurusd</v>
      </c>
      <c r="B60" s="0" t="str">
        <f aca="false">Bloomberg_load!E60</f>
        <v>FXF</v>
      </c>
      <c r="C60" s="0" t="str">
        <f aca="false">Bloomberg_load!F60</f>
        <v>FXF</v>
      </c>
      <c r="D60" s="1" t="e">
        <f aca="false">Bloomberg_load!G60</f>
        <v>#NAME?</v>
      </c>
      <c r="E60" s="1" t="e">
        <f aca="false">Bloomberg_load!H60</f>
        <v>#NAME?</v>
      </c>
      <c r="F60" s="0" t="e">
        <f aca="false">Bloomberg_load!I60</f>
        <v>#NAME?</v>
      </c>
      <c r="G60" s="0" t="e">
        <f aca="false">IF(OR(LEFT(F60,1)="#",LEFT(E60,1)="#",LEFT(D60,1)="#"),0,1)</f>
        <v>#NAME?</v>
      </c>
      <c r="I60" s="0" t="str">
        <f aca="false">Bloomberg_load!C60</f>
        <v>4M</v>
      </c>
    </row>
    <row r="61" customFormat="false" ht="15" hidden="false" customHeight="false" outlineLevel="0" collapsed="false">
      <c r="A61" s="0" t="str">
        <f aca="false">Bloomberg_load!D61</f>
        <v>eurusd</v>
      </c>
      <c r="B61" s="0" t="str">
        <f aca="false">Bloomberg_load!E61</f>
        <v>FXF</v>
      </c>
      <c r="C61" s="0" t="str">
        <f aca="false">Bloomberg_load!F61</f>
        <v>FXF</v>
      </c>
      <c r="D61" s="1" t="e">
        <f aca="false">Bloomberg_load!G61</f>
        <v>#NAME?</v>
      </c>
      <c r="E61" s="1" t="e">
        <f aca="false">Bloomberg_load!H61</f>
        <v>#NAME?</v>
      </c>
      <c r="F61" s="0" t="e">
        <f aca="false">Bloomberg_load!I61</f>
        <v>#NAME?</v>
      </c>
      <c r="G61" s="0" t="e">
        <f aca="false">IF(OR(LEFT(F61,1)="#",LEFT(E61,1)="#",LEFT(D61,1)="#"),0,1)</f>
        <v>#NAME?</v>
      </c>
      <c r="I61" s="0" t="str">
        <f aca="false">Bloomberg_load!C61</f>
        <v>5M</v>
      </c>
    </row>
    <row r="62" customFormat="false" ht="15" hidden="false" customHeight="false" outlineLevel="0" collapsed="false">
      <c r="A62" s="0" t="str">
        <f aca="false">Bloomberg_load!D62</f>
        <v>eurusd</v>
      </c>
      <c r="B62" s="0" t="str">
        <f aca="false">Bloomberg_load!E62</f>
        <v>FXF</v>
      </c>
      <c r="C62" s="0" t="str">
        <f aca="false">Bloomberg_load!F62</f>
        <v>FXF</v>
      </c>
      <c r="D62" s="1" t="e">
        <f aca="false">Bloomberg_load!G62</f>
        <v>#NAME?</v>
      </c>
      <c r="E62" s="1" t="e">
        <f aca="false">Bloomberg_load!H62</f>
        <v>#NAME?</v>
      </c>
      <c r="F62" s="0" t="e">
        <f aca="false">Bloomberg_load!I62</f>
        <v>#NAME?</v>
      </c>
      <c r="G62" s="0" t="e">
        <f aca="false">IF(OR(LEFT(F62,1)="#",LEFT(E62,1)="#",LEFT(D62,1)="#"),0,1)</f>
        <v>#NAME?</v>
      </c>
      <c r="I62" s="0" t="str">
        <f aca="false">Bloomberg_load!C62</f>
        <v>6M</v>
      </c>
    </row>
    <row r="63" customFormat="false" ht="15" hidden="false" customHeight="false" outlineLevel="0" collapsed="false">
      <c r="A63" s="0" t="str">
        <f aca="false">Bloomberg_load!D63</f>
        <v>eurusd</v>
      </c>
      <c r="B63" s="0" t="str">
        <f aca="false">Bloomberg_load!E63</f>
        <v>FXF</v>
      </c>
      <c r="C63" s="0" t="str">
        <f aca="false">Bloomberg_load!F63</f>
        <v>FXF</v>
      </c>
      <c r="D63" s="1" t="e">
        <f aca="false">Bloomberg_load!G63</f>
        <v>#NAME?</v>
      </c>
      <c r="E63" s="1" t="e">
        <f aca="false">Bloomberg_load!H63</f>
        <v>#NAME?</v>
      </c>
      <c r="F63" s="0" t="e">
        <f aca="false">Bloomberg_load!I63</f>
        <v>#NAME?</v>
      </c>
      <c r="G63" s="0" t="e">
        <f aca="false">IF(OR(LEFT(F63,1)="#",LEFT(E63,1)="#",LEFT(D63,1)="#"),0,1)</f>
        <v>#NAME?</v>
      </c>
      <c r="I63" s="0" t="str">
        <f aca="false">Bloomberg_load!C63</f>
        <v>7M</v>
      </c>
    </row>
    <row r="64" customFormat="false" ht="15" hidden="false" customHeight="false" outlineLevel="0" collapsed="false">
      <c r="A64" s="0" t="str">
        <f aca="false">Bloomberg_load!D64</f>
        <v>eurusd</v>
      </c>
      <c r="B64" s="0" t="str">
        <f aca="false">Bloomberg_load!E64</f>
        <v>FXF</v>
      </c>
      <c r="C64" s="0" t="str">
        <f aca="false">Bloomberg_load!F64</f>
        <v>FXF</v>
      </c>
      <c r="D64" s="1" t="e">
        <f aca="false">Bloomberg_load!G64</f>
        <v>#NAME?</v>
      </c>
      <c r="E64" s="1" t="e">
        <f aca="false">Bloomberg_load!H64</f>
        <v>#NAME?</v>
      </c>
      <c r="F64" s="0" t="e">
        <f aca="false">Bloomberg_load!I64</f>
        <v>#NAME?</v>
      </c>
      <c r="G64" s="0" t="e">
        <f aca="false">IF(OR(LEFT(F64,1)="#",LEFT(E64,1)="#",LEFT(D64,1)="#"),0,1)</f>
        <v>#NAME?</v>
      </c>
      <c r="I64" s="0" t="str">
        <f aca="false">Bloomberg_load!C64</f>
        <v>8M</v>
      </c>
    </row>
    <row r="65" customFormat="false" ht="15" hidden="false" customHeight="false" outlineLevel="0" collapsed="false">
      <c r="A65" s="0" t="str">
        <f aca="false">Bloomberg_load!D65</f>
        <v>eurusd</v>
      </c>
      <c r="B65" s="0" t="str">
        <f aca="false">Bloomberg_load!E65</f>
        <v>FXF</v>
      </c>
      <c r="C65" s="0" t="str">
        <f aca="false">Bloomberg_load!F65</f>
        <v>FXF</v>
      </c>
      <c r="D65" s="1" t="e">
        <f aca="false">Bloomberg_load!G65</f>
        <v>#NAME?</v>
      </c>
      <c r="E65" s="1" t="e">
        <f aca="false">Bloomberg_load!H65</f>
        <v>#NAME?</v>
      </c>
      <c r="F65" s="0" t="e">
        <f aca="false">Bloomberg_load!I65</f>
        <v>#NAME?</v>
      </c>
      <c r="G65" s="0" t="e">
        <f aca="false">IF(OR(LEFT(F65,1)="#",LEFT(E65,1)="#",LEFT(D65,1)="#"),0,1)</f>
        <v>#NAME?</v>
      </c>
      <c r="I65" s="0" t="str">
        <f aca="false">Bloomberg_load!C65</f>
        <v>9M</v>
      </c>
    </row>
    <row r="66" customFormat="false" ht="15" hidden="false" customHeight="false" outlineLevel="0" collapsed="false">
      <c r="A66" s="0" t="str">
        <f aca="false">Bloomberg_load!D66</f>
        <v>eurusd</v>
      </c>
      <c r="B66" s="0" t="str">
        <f aca="false">Bloomberg_load!E66</f>
        <v>FXF</v>
      </c>
      <c r="C66" s="0" t="str">
        <f aca="false">Bloomberg_load!F66</f>
        <v>FXF</v>
      </c>
      <c r="D66" s="1" t="e">
        <f aca="false">Bloomberg_load!G66</f>
        <v>#NAME?</v>
      </c>
      <c r="E66" s="1" t="e">
        <f aca="false">Bloomberg_load!H66</f>
        <v>#NAME?</v>
      </c>
      <c r="F66" s="0" t="e">
        <f aca="false">Bloomberg_load!I66</f>
        <v>#NAME?</v>
      </c>
      <c r="G66" s="0" t="e">
        <f aca="false">IF(OR(LEFT(F66,1)="#",LEFT(E66,1)="#",LEFT(D66,1)="#"),0,1)</f>
        <v>#NAME?</v>
      </c>
      <c r="I66" s="0" t="str">
        <f aca="false">Bloomberg_load!C66</f>
        <v>10M</v>
      </c>
    </row>
    <row r="67" customFormat="false" ht="15" hidden="false" customHeight="false" outlineLevel="0" collapsed="false">
      <c r="A67" s="0" t="str">
        <f aca="false">Bloomberg_load!D67</f>
        <v>eurusd</v>
      </c>
      <c r="B67" s="0" t="str">
        <f aca="false">Bloomberg_load!E67</f>
        <v>FXF</v>
      </c>
      <c r="C67" s="0" t="str">
        <f aca="false">Bloomberg_load!F67</f>
        <v>FXF</v>
      </c>
      <c r="D67" s="1" t="e">
        <f aca="false">Bloomberg_load!G67</f>
        <v>#NAME?</v>
      </c>
      <c r="E67" s="1" t="e">
        <f aca="false">Bloomberg_load!H67</f>
        <v>#NAME?</v>
      </c>
      <c r="F67" s="0" t="e">
        <f aca="false">Bloomberg_load!I67</f>
        <v>#NAME?</v>
      </c>
      <c r="G67" s="0" t="e">
        <f aca="false">IF(OR(LEFT(F67,1)="#",LEFT(E67,1)="#",LEFT(D67,1)="#"),0,1)</f>
        <v>#NAME?</v>
      </c>
      <c r="I67" s="0" t="str">
        <f aca="false">Bloomberg_load!C67</f>
        <v>11M</v>
      </c>
    </row>
    <row r="68" customFormat="false" ht="15" hidden="false" customHeight="false" outlineLevel="0" collapsed="false">
      <c r="A68" s="0" t="str">
        <f aca="false">Bloomberg_load!D68</f>
        <v>eurusd</v>
      </c>
      <c r="B68" s="0" t="str">
        <f aca="false">Bloomberg_load!E68</f>
        <v>FXF</v>
      </c>
      <c r="C68" s="0" t="str">
        <f aca="false">Bloomberg_load!F68</f>
        <v>FXF</v>
      </c>
      <c r="D68" s="1" t="e">
        <f aca="false">Bloomberg_load!G68</f>
        <v>#NAME?</v>
      </c>
      <c r="E68" s="1" t="e">
        <f aca="false">Bloomberg_load!H68</f>
        <v>#NAME?</v>
      </c>
      <c r="F68" s="0" t="e">
        <f aca="false">Bloomberg_load!I68</f>
        <v>#NAME?</v>
      </c>
      <c r="G68" s="0" t="e">
        <f aca="false">IF(OR(LEFT(F68,1)="#",LEFT(E68,1)="#",LEFT(D68,1)="#"),0,1)</f>
        <v>#NAME?</v>
      </c>
      <c r="I68" s="0" t="str">
        <f aca="false">Bloomberg_load!C68</f>
        <v>12M</v>
      </c>
    </row>
    <row r="69" customFormat="false" ht="15" hidden="false" customHeight="false" outlineLevel="0" collapsed="false">
      <c r="A69" s="0" t="str">
        <f aca="false">Bloomberg_load!D69</f>
        <v>eurusd</v>
      </c>
      <c r="B69" s="0" t="str">
        <f aca="false">Bloomberg_load!E69</f>
        <v>FXF</v>
      </c>
      <c r="C69" s="0" t="str">
        <f aca="false">Bloomberg_load!F69</f>
        <v>FXF</v>
      </c>
      <c r="D69" s="1" t="e">
        <f aca="false">Bloomberg_load!G69</f>
        <v>#NAME?</v>
      </c>
      <c r="E69" s="1" t="e">
        <f aca="false">Bloomberg_load!H69</f>
        <v>#NAME?</v>
      </c>
      <c r="F69" s="0" t="e">
        <f aca="false">Bloomberg_load!I69</f>
        <v>#NAME?</v>
      </c>
      <c r="G69" s="0" t="e">
        <f aca="false">IF(OR(LEFT(F69,1)="#",LEFT(E69,1)="#",LEFT(D69,1)="#"),0,1)</f>
        <v>#NAME?</v>
      </c>
      <c r="I69" s="0" t="str">
        <f aca="false">Bloomberg_load!C69</f>
        <v>15M</v>
      </c>
    </row>
    <row r="70" customFormat="false" ht="15" hidden="false" customHeight="false" outlineLevel="0" collapsed="false">
      <c r="A70" s="0" t="str">
        <f aca="false">Bloomberg_load!D70</f>
        <v>eurusd</v>
      </c>
      <c r="B70" s="0" t="str">
        <f aca="false">Bloomberg_load!E70</f>
        <v>FXF</v>
      </c>
      <c r="C70" s="0" t="str">
        <f aca="false">Bloomberg_load!F70</f>
        <v>FXF</v>
      </c>
      <c r="D70" s="1" t="e">
        <f aca="false">Bloomberg_load!G70</f>
        <v>#NAME?</v>
      </c>
      <c r="E70" s="1" t="e">
        <f aca="false">Bloomberg_load!H70</f>
        <v>#NAME?</v>
      </c>
      <c r="F70" s="0" t="e">
        <f aca="false">Bloomberg_load!I70</f>
        <v>#NAME?</v>
      </c>
      <c r="G70" s="0" t="e">
        <f aca="false">IF(OR(LEFT(F70,1)="#",LEFT(E70,1)="#",LEFT(D70,1)="#"),0,1)</f>
        <v>#NAME?</v>
      </c>
      <c r="I70" s="0" t="str">
        <f aca="false">Bloomberg_load!C70</f>
        <v>18M</v>
      </c>
    </row>
    <row r="71" customFormat="false" ht="15" hidden="false" customHeight="false" outlineLevel="0" collapsed="false">
      <c r="A71" s="0" t="str">
        <f aca="false">Bloomberg_load!D71</f>
        <v>eurusd</v>
      </c>
      <c r="B71" s="0" t="str">
        <f aca="false">Bloomberg_load!E71</f>
        <v>FXF</v>
      </c>
      <c r="C71" s="0" t="str">
        <f aca="false">Bloomberg_load!F71</f>
        <v>FXF</v>
      </c>
      <c r="D71" s="1" t="e">
        <f aca="false">Bloomberg_load!G71</f>
        <v>#NAME?</v>
      </c>
      <c r="E71" s="1" t="e">
        <f aca="false">Bloomberg_load!H71</f>
        <v>#NAME?</v>
      </c>
      <c r="F71" s="0" t="e">
        <f aca="false">Bloomberg_load!I71</f>
        <v>#NAME?</v>
      </c>
      <c r="G71" s="0" t="e">
        <f aca="false">IF(OR(LEFT(F71,1)="#",LEFT(E71,1)="#",LEFT(D71,1)="#"),0,1)</f>
        <v>#NAME?</v>
      </c>
      <c r="I71" s="0" t="str">
        <f aca="false">Bloomberg_load!C71</f>
        <v>21M</v>
      </c>
    </row>
    <row r="72" customFormat="false" ht="15" hidden="false" customHeight="false" outlineLevel="0" collapsed="false">
      <c r="A72" s="0" t="str">
        <f aca="false">Bloomberg_load!D72</f>
        <v>eurusd</v>
      </c>
      <c r="B72" s="0" t="str">
        <f aca="false">Bloomberg_load!E72</f>
        <v>FXF</v>
      </c>
      <c r="C72" s="0" t="str">
        <f aca="false">Bloomberg_load!F72</f>
        <v>FXF</v>
      </c>
      <c r="D72" s="1" t="e">
        <f aca="false">Bloomberg_load!G72</f>
        <v>#NAME?</v>
      </c>
      <c r="E72" s="1" t="e">
        <f aca="false">Bloomberg_load!H72</f>
        <v>#NAME?</v>
      </c>
      <c r="F72" s="0" t="e">
        <f aca="false">Bloomberg_load!I72</f>
        <v>#NAME?</v>
      </c>
      <c r="G72" s="0" t="e">
        <f aca="false">IF(OR(LEFT(F72,1)="#",LEFT(E72,1)="#",LEFT(D72,1)="#"),0,1)</f>
        <v>#NAME?</v>
      </c>
      <c r="I72" s="0" t="str">
        <f aca="false">Bloomberg_load!C72</f>
        <v>2Y</v>
      </c>
    </row>
    <row r="73" customFormat="false" ht="15" hidden="false" customHeight="false" outlineLevel="0" collapsed="false">
      <c r="A73" s="0" t="str">
        <f aca="false">Bloomberg_load!D73</f>
        <v>eurusd</v>
      </c>
      <c r="B73" s="0" t="str">
        <f aca="false">Bloomberg_load!E73</f>
        <v>FXF</v>
      </c>
      <c r="C73" s="0" t="str">
        <f aca="false">Bloomberg_load!F73</f>
        <v>FXF</v>
      </c>
      <c r="D73" s="1" t="e">
        <f aca="false">Bloomberg_load!G73</f>
        <v>#NAME?</v>
      </c>
      <c r="E73" s="1" t="e">
        <f aca="false">Bloomberg_load!H73</f>
        <v>#NAME?</v>
      </c>
      <c r="F73" s="0" t="e">
        <f aca="false">Bloomberg_load!I73</f>
        <v>#NAME?</v>
      </c>
      <c r="G73" s="0" t="e">
        <f aca="false">IF(OR(LEFT(F73,1)="#",LEFT(E73,1)="#",LEFT(D73,1)="#"),0,1)</f>
        <v>#NAME?</v>
      </c>
      <c r="I73" s="0" t="str">
        <f aca="false">Bloomberg_load!C73</f>
        <v>30M</v>
      </c>
    </row>
    <row r="74" customFormat="false" ht="15" hidden="false" customHeight="false" outlineLevel="0" collapsed="false">
      <c r="A74" s="0" t="str">
        <f aca="false">Bloomberg_load!D74</f>
        <v>eurusd</v>
      </c>
      <c r="B74" s="0" t="str">
        <f aca="false">Bloomberg_load!E74</f>
        <v>FXF</v>
      </c>
      <c r="C74" s="0" t="str">
        <f aca="false">Bloomberg_load!F74</f>
        <v>FXF</v>
      </c>
      <c r="D74" s="1" t="e">
        <f aca="false">Bloomberg_load!G74</f>
        <v>#NAME?</v>
      </c>
      <c r="E74" s="1" t="e">
        <f aca="false">Bloomberg_load!H74</f>
        <v>#NAME?</v>
      </c>
      <c r="F74" s="0" t="e">
        <f aca="false">Bloomberg_load!I74</f>
        <v>#NAME?</v>
      </c>
      <c r="G74" s="0" t="e">
        <f aca="false">IF(OR(LEFT(F74,1)="#",LEFT(E74,1)="#",LEFT(D74,1)="#"),0,1)</f>
        <v>#NAME?</v>
      </c>
      <c r="I74" s="0" t="str">
        <f aca="false">Bloomberg_load!C74</f>
        <v>3Y</v>
      </c>
    </row>
    <row r="75" customFormat="false" ht="15" hidden="false" customHeight="false" outlineLevel="0" collapsed="false">
      <c r="A75" s="0" t="str">
        <f aca="false">Bloomberg_load!D75</f>
        <v>eurusd</v>
      </c>
      <c r="B75" s="0" t="str">
        <f aca="false">Bloomberg_load!E75</f>
        <v>FXF</v>
      </c>
      <c r="C75" s="0" t="str">
        <f aca="false">Bloomberg_load!F75</f>
        <v>FXF</v>
      </c>
      <c r="D75" s="1" t="e">
        <f aca="false">Bloomberg_load!G75</f>
        <v>#NAME?</v>
      </c>
      <c r="E75" s="1" t="e">
        <f aca="false">Bloomberg_load!H75</f>
        <v>#NAME?</v>
      </c>
      <c r="F75" s="0" t="e">
        <f aca="false">Bloomberg_load!I75</f>
        <v>#NAME?</v>
      </c>
      <c r="G75" s="0" t="e">
        <f aca="false">IF(OR(LEFT(F75,1)="#",LEFT(E75,1)="#",LEFT(D75,1)="#"),0,1)</f>
        <v>#NAME?</v>
      </c>
      <c r="I75" s="0" t="str">
        <f aca="false">Bloomberg_load!C75</f>
        <v>4Y</v>
      </c>
    </row>
    <row r="76" customFormat="false" ht="15" hidden="false" customHeight="false" outlineLevel="0" collapsed="false">
      <c r="A76" s="0" t="str">
        <f aca="false">Bloomberg_load!D76</f>
        <v>eurusd</v>
      </c>
      <c r="B76" s="0" t="str">
        <f aca="false">Bloomberg_load!E76</f>
        <v>FXF</v>
      </c>
      <c r="C76" s="0" t="str">
        <f aca="false">Bloomberg_load!F76</f>
        <v>FXF</v>
      </c>
      <c r="D76" s="1" t="e">
        <f aca="false">Bloomberg_load!G76</f>
        <v>#NAME?</v>
      </c>
      <c r="E76" s="1" t="e">
        <f aca="false">Bloomberg_load!H76</f>
        <v>#NAME?</v>
      </c>
      <c r="F76" s="0" t="e">
        <f aca="false">Bloomberg_load!I76</f>
        <v>#NAME?</v>
      </c>
      <c r="G76" s="0" t="e">
        <f aca="false">IF(OR(LEFT(F76,1)="#",LEFT(E76,1)="#",LEFT(D76,1)="#"),0,1)</f>
        <v>#NAME?</v>
      </c>
      <c r="I76" s="0" t="str">
        <f aca="false">Bloomberg_load!C76</f>
        <v>5Y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4" activeCellId="0" sqref="V4"/>
    </sheetView>
  </sheetViews>
  <sheetFormatPr defaultColWidth="8.3984375" defaultRowHeight="15" zeroHeight="false" outlineLevelRow="0" outlineLevelCol="0"/>
  <cols>
    <col collapsed="false" customWidth="true" hidden="false" outlineLevel="0" max="2" min="2" style="0" width="10.43"/>
  </cols>
  <sheetData>
    <row r="1" customFormat="false" ht="15" hidden="false" customHeight="false" outlineLevel="0" collapsed="false">
      <c r="A1" s="0" t="s">
        <v>0</v>
      </c>
      <c r="B1" s="0" t="s">
        <v>9</v>
      </c>
      <c r="C1" s="0" t="s">
        <v>10</v>
      </c>
    </row>
    <row r="2" customFormat="false" ht="15" hidden="false" customHeight="false" outlineLevel="0" collapsed="false">
      <c r="A2" s="0" t="e">
        <f aca="false" t="array" ref="A2:B28">_xlfn.vstack(_xlfn._xlws.FILTER('Node Calculation'!C4:G17,{1,0,0,0,1}),_xlfn._xlws.FILTER('Node Calculation'!C24:G36,{1,0,0,0,1}))</f>
        <v>#NAME?</v>
      </c>
      <c r="B2" s="1" t="e">
        <v>#NAME?</v>
      </c>
      <c r="C2" s="0" t="n">
        <f aca="false">IF(ISBLANK(B2),"",1)</f>
        <v>1</v>
      </c>
    </row>
    <row r="3" customFormat="false" ht="15" hidden="false" customHeight="false" outlineLevel="0" collapsed="false">
      <c r="A3" s="0" t="e">
        <v>#NAME?</v>
      </c>
      <c r="B3" s="1" t="e">
        <v>#NAME?</v>
      </c>
      <c r="C3" s="0" t="n">
        <f aca="false">IF(ISBLANK(B3),"",1)</f>
        <v>1</v>
      </c>
    </row>
    <row r="4" customFormat="false" ht="15" hidden="false" customHeight="false" outlineLevel="0" collapsed="false">
      <c r="A4" s="0" t="e">
        <v>#NAME?</v>
      </c>
      <c r="B4" s="1" t="e">
        <v>#NAME?</v>
      </c>
      <c r="C4" s="0" t="n">
        <f aca="false">IF(ISBLANK(B4),"",1)</f>
        <v>1</v>
      </c>
    </row>
    <row r="5" customFormat="false" ht="15" hidden="false" customHeight="false" outlineLevel="0" collapsed="false">
      <c r="A5" s="0" t="e">
        <v>#NAME?</v>
      </c>
      <c r="B5" s="1" t="e">
        <v>#NAME?</v>
      </c>
      <c r="C5" s="0" t="n">
        <f aca="false">IF(ISBLANK(B5),"",1)</f>
        <v>1</v>
      </c>
    </row>
    <row r="6" customFormat="false" ht="15" hidden="false" customHeight="false" outlineLevel="0" collapsed="false">
      <c r="A6" s="0" t="e">
        <v>#NAME?</v>
      </c>
      <c r="B6" s="1" t="e">
        <v>#NAME?</v>
      </c>
      <c r="C6" s="0" t="n">
        <f aca="false">IF(ISBLANK(B6),"",1)</f>
        <v>1</v>
      </c>
    </row>
    <row r="7" customFormat="false" ht="15" hidden="false" customHeight="false" outlineLevel="0" collapsed="false">
      <c r="A7" s="0" t="e">
        <v>#NAME?</v>
      </c>
      <c r="B7" s="1" t="e">
        <v>#NAME?</v>
      </c>
      <c r="C7" s="0" t="n">
        <f aca="false">IF(ISBLANK(B7),"",1)</f>
        <v>1</v>
      </c>
    </row>
    <row r="8" customFormat="false" ht="15" hidden="false" customHeight="false" outlineLevel="0" collapsed="false">
      <c r="A8" s="0" t="e">
        <v>#NAME?</v>
      </c>
      <c r="B8" s="1" t="e">
        <v>#NAME?</v>
      </c>
      <c r="C8" s="0" t="n">
        <f aca="false">IF(ISBLANK(B8),"",1)</f>
        <v>1</v>
      </c>
    </row>
    <row r="9" customFormat="false" ht="15" hidden="false" customHeight="false" outlineLevel="0" collapsed="false">
      <c r="A9" s="0" t="e">
        <v>#NAME?</v>
      </c>
      <c r="B9" s="1" t="e">
        <v>#NAME?</v>
      </c>
      <c r="C9" s="0" t="n">
        <f aca="false">IF(ISBLANK(B9),"",1)</f>
        <v>1</v>
      </c>
    </row>
    <row r="10" customFormat="false" ht="15" hidden="false" customHeight="false" outlineLevel="0" collapsed="false">
      <c r="A10" s="0" t="e">
        <v>#NAME?</v>
      </c>
      <c r="B10" s="1" t="e">
        <v>#NAME?</v>
      </c>
      <c r="C10" s="0" t="n">
        <f aca="false">IF(ISBLANK(B10),"",1)</f>
        <v>1</v>
      </c>
    </row>
    <row r="11" customFormat="false" ht="15" hidden="false" customHeight="false" outlineLevel="0" collapsed="false">
      <c r="A11" s="0" t="e">
        <v>#NAME?</v>
      </c>
      <c r="B11" s="1" t="e">
        <v>#NAME?</v>
      </c>
      <c r="C11" s="0" t="n">
        <f aca="false">IF(ISBLANK(B11),"",1)</f>
        <v>1</v>
      </c>
    </row>
    <row r="12" customFormat="false" ht="15" hidden="false" customHeight="false" outlineLevel="0" collapsed="false">
      <c r="A12" s="0" t="e">
        <v>#NAME?</v>
      </c>
      <c r="B12" s="1" t="e">
        <v>#NAME?</v>
      </c>
      <c r="C12" s="0" t="n">
        <f aca="false">IF(ISBLANK(B12),"",1)</f>
        <v>1</v>
      </c>
    </row>
    <row r="13" customFormat="false" ht="15" hidden="false" customHeight="false" outlineLevel="0" collapsed="false">
      <c r="A13" s="0" t="e">
        <v>#NAME?</v>
      </c>
      <c r="B13" s="1" t="e">
        <v>#NAME?</v>
      </c>
      <c r="C13" s="0" t="n">
        <f aca="false">IF(ISBLANK(B13),"",1)</f>
        <v>1</v>
      </c>
    </row>
    <row r="14" customFormat="false" ht="15" hidden="false" customHeight="false" outlineLevel="0" collapsed="false">
      <c r="A14" s="0" t="e">
        <v>#NAME?</v>
      </c>
      <c r="B14" s="1" t="e">
        <v>#NAME?</v>
      </c>
      <c r="C14" s="0" t="n">
        <f aca="false">IF(ISBLANK(B14),"",1)</f>
        <v>1</v>
      </c>
    </row>
    <row r="15" customFormat="false" ht="15" hidden="false" customHeight="false" outlineLevel="0" collapsed="false">
      <c r="A15" s="0" t="e">
        <v>#NAME?</v>
      </c>
      <c r="B15" s="1" t="e">
        <v>#NAME?</v>
      </c>
      <c r="C15" s="0" t="n">
        <f aca="false">IF(ISBLANK(B15),"",1)</f>
        <v>1</v>
      </c>
    </row>
    <row r="16" customFormat="false" ht="15" hidden="false" customHeight="false" outlineLevel="0" collapsed="false">
      <c r="A16" s="0" t="e">
        <v>#NAME?</v>
      </c>
      <c r="B16" s="1" t="e">
        <v>#NAME?</v>
      </c>
      <c r="C16" s="0" t="n">
        <f aca="false">IF(ISBLANK(B16),"",1)</f>
        <v>1</v>
      </c>
    </row>
    <row r="17" customFormat="false" ht="15" hidden="false" customHeight="false" outlineLevel="0" collapsed="false">
      <c r="A17" s="0" t="e">
        <v>#NAME?</v>
      </c>
      <c r="B17" s="1" t="e">
        <v>#NAME?</v>
      </c>
      <c r="C17" s="0" t="n">
        <f aca="false">IF(ISBLANK(B17),"",1)</f>
        <v>1</v>
      </c>
    </row>
    <row r="18" customFormat="false" ht="15" hidden="false" customHeight="false" outlineLevel="0" collapsed="false">
      <c r="A18" s="0" t="e">
        <v>#NAME?</v>
      </c>
      <c r="B18" s="1" t="e">
        <v>#NAME?</v>
      </c>
      <c r="C18" s="0" t="n">
        <f aca="false">IF(ISBLANK(B18),"",1)</f>
        <v>1</v>
      </c>
    </row>
    <row r="19" customFormat="false" ht="15" hidden="false" customHeight="false" outlineLevel="0" collapsed="false">
      <c r="A19" s="0" t="e">
        <v>#NAME?</v>
      </c>
      <c r="B19" s="1" t="e">
        <v>#NAME?</v>
      </c>
      <c r="C19" s="0" t="n">
        <f aca="false">IF(ISBLANK(B19),"",1)</f>
        <v>1</v>
      </c>
    </row>
    <row r="20" customFormat="false" ht="15" hidden="false" customHeight="false" outlineLevel="0" collapsed="false">
      <c r="A20" s="0" t="e">
        <v>#NAME?</v>
      </c>
      <c r="B20" s="1" t="e">
        <v>#NAME?</v>
      </c>
      <c r="C20" s="0" t="n">
        <f aca="false">IF(ISBLANK(B20),"",1)</f>
        <v>1</v>
      </c>
    </row>
    <row r="21" customFormat="false" ht="15" hidden="false" customHeight="false" outlineLevel="0" collapsed="false">
      <c r="A21" s="0" t="e">
        <v>#NAME?</v>
      </c>
      <c r="B21" s="1" t="e">
        <v>#NAME?</v>
      </c>
      <c r="C21" s="0" t="n">
        <f aca="false">IF(ISBLANK(B21),"",1)</f>
        <v>1</v>
      </c>
    </row>
    <row r="22" customFormat="false" ht="15" hidden="false" customHeight="false" outlineLevel="0" collapsed="false">
      <c r="A22" s="0" t="e">
        <v>#NAME?</v>
      </c>
      <c r="B22" s="1" t="e">
        <v>#NAME?</v>
      </c>
      <c r="C22" s="0" t="n">
        <f aca="false">IF(ISBLANK(B22),"",1)</f>
        <v>1</v>
      </c>
    </row>
    <row r="23" customFormat="false" ht="15" hidden="false" customHeight="false" outlineLevel="0" collapsed="false">
      <c r="A23" s="0" t="e">
        <v>#NAME?</v>
      </c>
      <c r="B23" s="1" t="e">
        <v>#NAME?</v>
      </c>
      <c r="C23" s="0" t="n">
        <f aca="false">IF(ISBLANK(B23),"",1)</f>
        <v>1</v>
      </c>
    </row>
    <row r="24" customFormat="false" ht="15" hidden="false" customHeight="false" outlineLevel="0" collapsed="false">
      <c r="A24" s="0" t="e">
        <v>#NAME?</v>
      </c>
      <c r="B24" s="1" t="e">
        <v>#NAME?</v>
      </c>
      <c r="C24" s="0" t="n">
        <f aca="false">IF(ISBLANK(B24),"",1)</f>
        <v>1</v>
      </c>
    </row>
    <row r="25" customFormat="false" ht="15" hidden="false" customHeight="false" outlineLevel="0" collapsed="false">
      <c r="A25" s="0" t="e">
        <v>#NAME?</v>
      </c>
      <c r="B25" s="1" t="e">
        <v>#NAME?</v>
      </c>
      <c r="C25" s="0" t="n">
        <f aca="false">IF(ISBLANK(B25),"",1)</f>
        <v>1</v>
      </c>
    </row>
    <row r="26" customFormat="false" ht="15" hidden="false" customHeight="false" outlineLevel="0" collapsed="false">
      <c r="A26" s="0" t="e">
        <v>#NAME?</v>
      </c>
      <c r="B26" s="1" t="e">
        <v>#NAME?</v>
      </c>
      <c r="C26" s="0" t="n">
        <f aca="false">IF(ISBLANK(B26),"",1)</f>
        <v>1</v>
      </c>
    </row>
    <row r="27" customFormat="false" ht="15" hidden="false" customHeight="false" outlineLevel="0" collapsed="false">
      <c r="A27" s="0" t="e">
        <v>#NAME?</v>
      </c>
      <c r="B27" s="1" t="e">
        <v>#NAME?</v>
      </c>
      <c r="C27" s="0" t="n">
        <f aca="false">IF(ISBLANK(B27),"",1)</f>
        <v>1</v>
      </c>
    </row>
    <row r="28" customFormat="false" ht="15" hidden="false" customHeight="false" outlineLevel="0" collapsed="false">
      <c r="A28" s="0" t="e">
        <v>#NAME?</v>
      </c>
      <c r="B28" s="1" t="e">
        <v>#NAME?</v>
      </c>
      <c r="C28" s="0" t="n">
        <f aca="false">IF(ISBLANK(B28),"",1)</f>
        <v>1</v>
      </c>
    </row>
    <row r="29" customFormat="false" ht="15" hidden="false" customHeight="false" outlineLevel="0" collapsed="false">
      <c r="B29" s="1"/>
      <c r="C29" s="0" t="str">
        <f aca="false">IF(ISBLANK(B29),"",1)</f>
        <v/>
      </c>
    </row>
    <row r="30" customFormat="false" ht="15" hidden="false" customHeight="false" outlineLevel="0" collapsed="false">
      <c r="B30" s="1"/>
      <c r="C30" s="0" t="str">
        <f aca="false">IF(ISBLANK(B30),"",1)</f>
        <v/>
      </c>
    </row>
    <row r="31" customFormat="false" ht="15" hidden="false" customHeight="false" outlineLevel="0" collapsed="false">
      <c r="B31" s="1"/>
      <c r="C31" s="0" t="str">
        <f aca="false">IF(ISBLANK(B31),"",1)</f>
        <v/>
      </c>
    </row>
    <row r="32" customFormat="false" ht="15" hidden="false" customHeight="false" outlineLevel="0" collapsed="false">
      <c r="B32" s="1"/>
      <c r="C32" s="0" t="str">
        <f aca="false">IF(ISBLANK(B32),"",1)</f>
        <v/>
      </c>
    </row>
    <row r="33" customFormat="false" ht="15" hidden="false" customHeight="false" outlineLevel="0" collapsed="false">
      <c r="B33" s="1"/>
      <c r="C33" s="0" t="str">
        <f aca="false">IF(ISBLANK(B33),"",1)</f>
        <v/>
      </c>
    </row>
    <row r="34" customFormat="false" ht="15" hidden="false" customHeight="false" outlineLevel="0" collapsed="false">
      <c r="B34" s="1"/>
      <c r="C34" s="0" t="str">
        <f aca="false">IF(ISBLANK(B34),"",1)</f>
        <v/>
      </c>
    </row>
    <row r="35" customFormat="false" ht="15" hidden="false" customHeight="false" outlineLevel="0" collapsed="false">
      <c r="B35" s="1"/>
      <c r="C35" s="0" t="str">
        <f aca="false">IF(ISBLANK(B35),"",1)</f>
        <v/>
      </c>
    </row>
    <row r="36" customFormat="false" ht="15" hidden="false" customHeight="false" outlineLevel="0" collapsed="false">
      <c r="B36" s="1"/>
      <c r="C36" s="0" t="str">
        <f aca="false">IF(ISBLANK(B36),"",1)</f>
        <v/>
      </c>
    </row>
    <row r="37" customFormat="false" ht="15" hidden="false" customHeight="false" outlineLevel="0" collapsed="false">
      <c r="B37" s="1"/>
      <c r="C37" s="0" t="str">
        <f aca="false">IF(ISBLANK(B37),"",1)</f>
        <v/>
      </c>
    </row>
    <row r="38" customFormat="false" ht="15" hidden="false" customHeight="false" outlineLevel="0" collapsed="false">
      <c r="B38" s="1"/>
      <c r="C38" s="0" t="str">
        <f aca="false">IF(ISBLANK(B38),"",1)</f>
        <v/>
      </c>
    </row>
    <row r="39" customFormat="false" ht="15" hidden="false" customHeight="false" outlineLevel="0" collapsed="false">
      <c r="B39" s="1"/>
      <c r="C39" s="0" t="str">
        <f aca="false">IF(ISBLANK(B39),"",1)</f>
        <v/>
      </c>
    </row>
    <row r="40" customFormat="false" ht="15" hidden="false" customHeight="false" outlineLevel="0" collapsed="false">
      <c r="B40" s="1"/>
      <c r="C40" s="0" t="str">
        <f aca="false">IF(ISBLANK(B40),"",1)</f>
        <v/>
      </c>
    </row>
    <row r="41" customFormat="false" ht="15" hidden="false" customHeight="false" outlineLevel="0" collapsed="false">
      <c r="B41" s="1"/>
      <c r="C41" s="0" t="str">
        <f aca="false">IF(ISBLANK(B41),"",1)</f>
        <v/>
      </c>
    </row>
    <row r="42" customFormat="false" ht="15" hidden="false" customHeight="false" outlineLevel="0" collapsed="false">
      <c r="B42" s="1"/>
      <c r="C42" s="0" t="str">
        <f aca="false">IF(ISBLANK(B42),"",1)</f>
        <v/>
      </c>
    </row>
    <row r="43" customFormat="false" ht="15" hidden="false" customHeight="false" outlineLevel="0" collapsed="false">
      <c r="B43" s="1"/>
      <c r="C43" s="0" t="str">
        <f aca="false">IF(ISBLANK(B43),"",1)</f>
        <v/>
      </c>
    </row>
    <row r="44" customFormat="false" ht="15" hidden="false" customHeight="false" outlineLevel="0" collapsed="false">
      <c r="B44" s="1"/>
      <c r="C44" s="0" t="str">
        <f aca="false">IF(ISBLANK(B44),"",1)</f>
        <v/>
      </c>
    </row>
    <row r="45" customFormat="false" ht="15" hidden="false" customHeight="false" outlineLevel="0" collapsed="false">
      <c r="B45" s="1"/>
      <c r="C45" s="0" t="str">
        <f aca="false">IF(ISBLANK(B45),"",1)</f>
        <v/>
      </c>
    </row>
    <row r="46" customFormat="false" ht="15" hidden="false" customHeight="false" outlineLevel="0" collapsed="false">
      <c r="B46" s="1"/>
      <c r="C46" s="0" t="str">
        <f aca="false">IF(ISBLANK(B46),"",1)</f>
        <v/>
      </c>
    </row>
    <row r="47" customFormat="false" ht="15" hidden="false" customHeight="false" outlineLevel="0" collapsed="false">
      <c r="B47" s="1"/>
      <c r="C47" s="0" t="str">
        <f aca="false">IF(ISBLANK(B47),"",1)</f>
        <v/>
      </c>
    </row>
    <row r="48" customFormat="false" ht="15" hidden="false" customHeight="false" outlineLevel="0" collapsed="false">
      <c r="B48" s="1"/>
      <c r="C48" s="0" t="str">
        <f aca="false">IF(ISBLANK(B48),"",1)</f>
        <v/>
      </c>
    </row>
    <row r="49" customFormat="false" ht="15" hidden="false" customHeight="false" outlineLevel="0" collapsed="false">
      <c r="C49" s="0" t="str">
        <f aca="false">IF(ISBLANK(B49),"",1)</f>
        <v/>
      </c>
    </row>
    <row r="50" customFormat="false" ht="15" hidden="false" customHeight="false" outlineLevel="0" collapsed="false">
      <c r="C50" s="0" t="str">
        <f aca="false">IF(ISBLANK(B50),"",1)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1" activeCellId="0" sqref="F1"/>
    </sheetView>
  </sheetViews>
  <sheetFormatPr defaultColWidth="8.3984375" defaultRowHeight="15" zeroHeight="false" outlineLevelRow="0" outlineLevelCol="0"/>
  <cols>
    <col collapsed="false" customWidth="true" hidden="false" outlineLevel="0" max="1" min="1" style="0" width="158.71"/>
    <col collapsed="false" customWidth="true" hidden="false" outlineLevel="0" max="2" min="2" style="0" width="13.29"/>
    <col collapsed="false" customWidth="true" hidden="false" outlineLevel="0" max="3" min="3" style="0" width="11.28"/>
    <col collapsed="false" customWidth="true" hidden="false" outlineLevel="0" max="4" min="4" style="0" width="15"/>
    <col collapsed="false" customWidth="true" hidden="false" outlineLevel="0" max="5" min="5" style="0" width="22.29"/>
    <col collapsed="false" customWidth="true" hidden="false" outlineLevel="0" max="6" min="6" style="0" width="20.57"/>
    <col collapsed="false" customWidth="true" hidden="false" outlineLevel="0" max="7" min="7" style="0" width="15.15"/>
    <col collapsed="false" customWidth="true" hidden="false" outlineLevel="0" max="8" min="8" style="0" width="11.72"/>
    <col collapsed="false" customWidth="true" hidden="false" outlineLevel="0" max="9" min="9" style="0" width="11.86"/>
    <col collapsed="false" customWidth="true" hidden="false" outlineLevel="0" max="10" min="10" style="0" width="12.14"/>
  </cols>
  <sheetData>
    <row r="1" customFormat="false" ht="15" hidden="false" customHeight="false" outlineLevel="0" collapsed="false">
      <c r="A1" s="0" t="e">
        <f aca="false">_xlfn.CONCAT(B1:J1)</f>
        <v>#NAME?</v>
      </c>
      <c r="B1" s="0" t="str">
        <f aca="false">IF(ISBLANK(Instruments!A2),"","{"&amp;""""&amp;Instruments!A$1&amp;""""&amp;":"&amp;""""&amp;Instruments!A2&amp;"""")</f>
        <v>{"curve":"sofr"</v>
      </c>
      <c r="C1" s="0" t="str">
        <f aca="false">IF(ISBLANK(Instruments!A2),"",","&amp;""""&amp;Instruments!B$1&amp;""""&amp;":"&amp;""""&amp;Instruments!B2&amp;"""")</f>
        <v>,"type":"IRS"</v>
      </c>
      <c r="D1" s="0" t="str">
        <f aca="false">IF(ISBLANK(Instruments!B2),"",","&amp;""""&amp;Instruments!C$1&amp;""""&amp;":"&amp;""""&amp;Instruments!C2&amp;"""")</f>
        <v>,"subtype":"OIS"</v>
      </c>
      <c r="E1" s="0" t="e">
        <f aca="false">IF(ISBLANK(Instruments!C2),"",","&amp;""""&amp;Instruments!D$1&amp;""""&amp;":"&amp;""""&amp;TEXT(Instruments!D2,"yyyy-mm-dd")&amp;"""")</f>
        <v>#NAME?</v>
      </c>
      <c r="F1" s="0" t="e">
        <f aca="false">IF(ISBLANK(Instruments!D2),"",","&amp;""""&amp;Instruments!E$1&amp;""""&amp;":"&amp;""""&amp;TEXT(Instruments!E2,"yyyy-mm-dd")&amp;"""")</f>
        <v>#NAME?</v>
      </c>
      <c r="G1" s="0" t="e">
        <f aca="false">IF(ISBLANK(Instruments!E2),"",","&amp;""""&amp;Instruments!F$1&amp;""""&amp;":"&amp;""""&amp;Instruments!F2&amp;"""")</f>
        <v>#NAME?</v>
      </c>
      <c r="H1" s="0" t="e">
        <f aca="false">IF(ISBLANK(Instruments!F2),"",","&amp;""""&amp;Instruments!G$1&amp;""""&amp;":"&amp;""""&amp;Instruments!G2&amp;"""")</f>
        <v>#NAME?</v>
      </c>
      <c r="I1" s="0" t="str">
        <f aca="false">IF(ISBLANK(Instruments!G2),"",","&amp;""""&amp;Instruments!H$1&amp;""""&amp;":"&amp;""""&amp;Instruments!H2&amp;"""")</f>
        <v>,"params":""</v>
      </c>
      <c r="J1" s="0" t="str">
        <f aca="false">IF(ISBLANK(Instruments!I2),"",","&amp;""""&amp;Instruments!I$1&amp;""""&amp;":"&amp;""""&amp;Instruments!I2&amp;""""&amp;"}")</f>
        <v>,"tenor":"1M"}</v>
      </c>
    </row>
    <row r="2" customFormat="false" ht="15" hidden="false" customHeight="false" outlineLevel="0" collapsed="false">
      <c r="A2" s="0" t="e">
        <f aca="false">_xlfn.CONCAT(B2:J2)</f>
        <v>#NAME?</v>
      </c>
      <c r="B2" s="0" t="str">
        <f aca="false">IF(ISBLANK(Instruments!A3),"","{"&amp;""""&amp;Instruments!A$1&amp;""""&amp;":"&amp;""""&amp;Instruments!A3&amp;"""")</f>
        <v>{"curve":"sofr"</v>
      </c>
      <c r="C2" s="0" t="str">
        <f aca="false">IF(ISBLANK(Instruments!A3),"",","&amp;""""&amp;Instruments!B$1&amp;""""&amp;":"&amp;""""&amp;Instruments!B3&amp;"""")</f>
        <v>,"type":"IRS"</v>
      </c>
      <c r="D2" s="0" t="str">
        <f aca="false">IF(ISBLANK(Instruments!B3),"",","&amp;""""&amp;Instruments!C$1&amp;""""&amp;":"&amp;""""&amp;Instruments!C3&amp;"""")</f>
        <v>,"subtype":"OIS"</v>
      </c>
      <c r="E2" s="0" t="e">
        <f aca="false">IF(ISBLANK(Instruments!C3),"",","&amp;""""&amp;Instruments!D$1&amp;""""&amp;":"&amp;""""&amp;TEXT(Instruments!D3,"yyyy-mm-dd")&amp;"""")</f>
        <v>#NAME?</v>
      </c>
      <c r="F2" s="0" t="e">
        <f aca="false">IF(ISBLANK(Instruments!D3),"",","&amp;""""&amp;Instruments!E$1&amp;""""&amp;":"&amp;""""&amp;TEXT(Instruments!E3,"yyyy-mm-dd")&amp;"""")</f>
        <v>#NAME?</v>
      </c>
      <c r="G2" s="0" t="e">
        <f aca="false">IF(ISBLANK(Instruments!E3),"",","&amp;""""&amp;Instruments!F$1&amp;""""&amp;":"&amp;""""&amp;Instruments!F3&amp;"""")</f>
        <v>#NAME?</v>
      </c>
      <c r="H2" s="0" t="e">
        <f aca="false">IF(ISBLANK(Instruments!F3),"",","&amp;""""&amp;Instruments!G$1&amp;""""&amp;":"&amp;""""&amp;Instruments!G3&amp;"""")</f>
        <v>#NAME?</v>
      </c>
      <c r="I2" s="0" t="str">
        <f aca="false">IF(ISBLANK(Instruments!G3),"",","&amp;""""&amp;Instruments!H$1&amp;""""&amp;":"&amp;""""&amp;Instruments!H3&amp;"""")</f>
        <v>,"params":""</v>
      </c>
      <c r="J2" s="0" t="str">
        <f aca="false">IF(ISBLANK(Instruments!I3),"",","&amp;""""&amp;Instruments!I$1&amp;""""&amp;":"&amp;""""&amp;Instruments!I3&amp;""""&amp;"}")</f>
        <v>,"tenor":"2M"}</v>
      </c>
    </row>
    <row r="3" customFormat="false" ht="15" hidden="false" customHeight="false" outlineLevel="0" collapsed="false">
      <c r="A3" s="0" t="e">
        <f aca="false">_xlfn.CONCAT(B3:J3)</f>
        <v>#NAME?</v>
      </c>
      <c r="B3" s="0" t="str">
        <f aca="false">IF(ISBLANK(Instruments!A4),"","{"&amp;""""&amp;Instruments!A$1&amp;""""&amp;":"&amp;""""&amp;Instruments!A4&amp;"""")</f>
        <v>{"curve":"sofr"</v>
      </c>
      <c r="C3" s="0" t="str">
        <f aca="false">IF(ISBLANK(Instruments!A4),"",","&amp;""""&amp;Instruments!B$1&amp;""""&amp;":"&amp;""""&amp;Instruments!B4&amp;"""")</f>
        <v>,"type":"IRS"</v>
      </c>
      <c r="D3" s="0" t="str">
        <f aca="false">IF(ISBLANK(Instruments!B4),"",","&amp;""""&amp;Instruments!C$1&amp;""""&amp;":"&amp;""""&amp;Instruments!C4&amp;"""")</f>
        <v>,"subtype":"OIS"</v>
      </c>
      <c r="E3" s="0" t="e">
        <f aca="false">IF(ISBLANK(Instruments!C4),"",","&amp;""""&amp;Instruments!D$1&amp;""""&amp;":"&amp;""""&amp;TEXT(Instruments!D4,"yyyy-mm-dd")&amp;"""")</f>
        <v>#NAME?</v>
      </c>
      <c r="F3" s="0" t="e">
        <f aca="false">IF(ISBLANK(Instruments!D4),"",","&amp;""""&amp;Instruments!E$1&amp;""""&amp;":"&amp;""""&amp;TEXT(Instruments!E4,"yyyy-mm-dd")&amp;"""")</f>
        <v>#NAME?</v>
      </c>
      <c r="G3" s="0" t="e">
        <f aca="false">IF(ISBLANK(Instruments!E4),"",","&amp;""""&amp;Instruments!F$1&amp;""""&amp;":"&amp;""""&amp;Instruments!F4&amp;"""")</f>
        <v>#NAME?</v>
      </c>
      <c r="H3" s="0" t="e">
        <f aca="false">IF(ISBLANK(Instruments!F4),"",","&amp;""""&amp;Instruments!G$1&amp;""""&amp;":"&amp;""""&amp;Instruments!G4&amp;"""")</f>
        <v>#NAME?</v>
      </c>
      <c r="I3" s="0" t="str">
        <f aca="false">IF(ISBLANK(Instruments!G4),"",","&amp;""""&amp;Instruments!H$1&amp;""""&amp;":"&amp;""""&amp;Instruments!H4&amp;"""")</f>
        <v>,"params":""</v>
      </c>
      <c r="J3" s="0" t="str">
        <f aca="false">IF(ISBLANK(Instruments!I4),"",","&amp;""""&amp;Instruments!I$1&amp;""""&amp;":"&amp;""""&amp;Instruments!I4&amp;""""&amp;"}")</f>
        <v>,"tenor":"3M"}</v>
      </c>
    </row>
    <row r="4" customFormat="false" ht="15" hidden="false" customHeight="false" outlineLevel="0" collapsed="false">
      <c r="A4" s="0" t="e">
        <f aca="false">_xlfn.CONCAT(B4:J4)</f>
        <v>#NAME?</v>
      </c>
      <c r="B4" s="0" t="str">
        <f aca="false">IF(ISBLANK(Instruments!A5),"","{"&amp;""""&amp;Instruments!A$1&amp;""""&amp;":"&amp;""""&amp;Instruments!A5&amp;"""")</f>
        <v>{"curve":"sofr"</v>
      </c>
      <c r="C4" s="0" t="str">
        <f aca="false">IF(ISBLANK(Instruments!A5),"",","&amp;""""&amp;Instruments!B$1&amp;""""&amp;":"&amp;""""&amp;Instruments!B5&amp;"""")</f>
        <v>,"type":"IRS"</v>
      </c>
      <c r="D4" s="0" t="str">
        <f aca="false">IF(ISBLANK(Instruments!B5),"",","&amp;""""&amp;Instruments!C$1&amp;""""&amp;":"&amp;""""&amp;Instruments!C5&amp;"""")</f>
        <v>,"subtype":"OIS"</v>
      </c>
      <c r="E4" s="0" t="e">
        <f aca="false">IF(ISBLANK(Instruments!C5),"",","&amp;""""&amp;Instruments!D$1&amp;""""&amp;":"&amp;""""&amp;TEXT(Instruments!D5,"yyyy-mm-dd")&amp;"""")</f>
        <v>#NAME?</v>
      </c>
      <c r="F4" s="0" t="e">
        <f aca="false">IF(ISBLANK(Instruments!D5),"",","&amp;""""&amp;Instruments!E$1&amp;""""&amp;":"&amp;""""&amp;TEXT(Instruments!E5,"yyyy-mm-dd")&amp;"""")</f>
        <v>#NAME?</v>
      </c>
      <c r="G4" s="0" t="e">
        <f aca="false">IF(ISBLANK(Instruments!E5),"",","&amp;""""&amp;Instruments!F$1&amp;""""&amp;":"&amp;""""&amp;Instruments!F5&amp;"""")</f>
        <v>#NAME?</v>
      </c>
      <c r="H4" s="0" t="e">
        <f aca="false">IF(ISBLANK(Instruments!F5),"",","&amp;""""&amp;Instruments!G$1&amp;""""&amp;":"&amp;""""&amp;Instruments!G5&amp;"""")</f>
        <v>#NAME?</v>
      </c>
      <c r="I4" s="0" t="str">
        <f aca="false">IF(ISBLANK(Instruments!G5),"",","&amp;""""&amp;Instruments!H$1&amp;""""&amp;":"&amp;""""&amp;Instruments!H5&amp;"""")</f>
        <v>,"params":""</v>
      </c>
      <c r="J4" s="0" t="str">
        <f aca="false">IF(ISBLANK(Instruments!I5),"",","&amp;""""&amp;Instruments!I$1&amp;""""&amp;":"&amp;""""&amp;Instruments!I5&amp;""""&amp;"}")</f>
        <v>,"tenor":"4M"}</v>
      </c>
    </row>
    <row r="5" customFormat="false" ht="15" hidden="false" customHeight="false" outlineLevel="0" collapsed="false">
      <c r="A5" s="0" t="e">
        <f aca="false">_xlfn.CONCAT(B5:J5)</f>
        <v>#NAME?</v>
      </c>
      <c r="B5" s="0" t="str">
        <f aca="false">IF(ISBLANK(Instruments!A6),"","{"&amp;""""&amp;Instruments!A$1&amp;""""&amp;":"&amp;""""&amp;Instruments!A6&amp;"""")</f>
        <v>{"curve":"sofr"</v>
      </c>
      <c r="C5" s="0" t="str">
        <f aca="false">IF(ISBLANK(Instruments!A6),"",","&amp;""""&amp;Instruments!B$1&amp;""""&amp;":"&amp;""""&amp;Instruments!B6&amp;"""")</f>
        <v>,"type":"IRS"</v>
      </c>
      <c r="D5" s="0" t="str">
        <f aca="false">IF(ISBLANK(Instruments!B6),"",","&amp;""""&amp;Instruments!C$1&amp;""""&amp;":"&amp;""""&amp;Instruments!C6&amp;"""")</f>
        <v>,"subtype":"OIS"</v>
      </c>
      <c r="E5" s="0" t="e">
        <f aca="false">IF(ISBLANK(Instruments!C6),"",","&amp;""""&amp;Instruments!D$1&amp;""""&amp;":"&amp;""""&amp;TEXT(Instruments!D6,"yyyy-mm-dd")&amp;"""")</f>
        <v>#NAME?</v>
      </c>
      <c r="F5" s="0" t="e">
        <f aca="false">IF(ISBLANK(Instruments!D6),"",","&amp;""""&amp;Instruments!E$1&amp;""""&amp;":"&amp;""""&amp;TEXT(Instruments!E6,"yyyy-mm-dd")&amp;"""")</f>
        <v>#NAME?</v>
      </c>
      <c r="G5" s="0" t="e">
        <f aca="false">IF(ISBLANK(Instruments!E6),"",","&amp;""""&amp;Instruments!F$1&amp;""""&amp;":"&amp;""""&amp;Instruments!F6&amp;"""")</f>
        <v>#NAME?</v>
      </c>
      <c r="H5" s="0" t="e">
        <f aca="false">IF(ISBLANK(Instruments!F6),"",","&amp;""""&amp;Instruments!G$1&amp;""""&amp;":"&amp;""""&amp;Instruments!G6&amp;"""")</f>
        <v>#NAME?</v>
      </c>
      <c r="I5" s="0" t="str">
        <f aca="false">IF(ISBLANK(Instruments!G6),"",","&amp;""""&amp;Instruments!H$1&amp;""""&amp;":"&amp;""""&amp;Instruments!H6&amp;"""")</f>
        <v>,"params":""</v>
      </c>
      <c r="J5" s="0" t="str">
        <f aca="false">IF(ISBLANK(Instruments!I6),"",","&amp;""""&amp;Instruments!I$1&amp;""""&amp;":"&amp;""""&amp;Instruments!I6&amp;""""&amp;"}")</f>
        <v>,"tenor":"5M"}</v>
      </c>
    </row>
    <row r="6" customFormat="false" ht="15" hidden="false" customHeight="false" outlineLevel="0" collapsed="false">
      <c r="A6" s="0" t="e">
        <f aca="false">_xlfn.CONCAT(B6:J6)</f>
        <v>#NAME?</v>
      </c>
      <c r="B6" s="0" t="str">
        <f aca="false">IF(ISBLANK(Instruments!A7),"","{"&amp;""""&amp;Instruments!A$1&amp;""""&amp;":"&amp;""""&amp;Instruments!A7&amp;"""")</f>
        <v>{"curve":"sofr"</v>
      </c>
      <c r="C6" s="0" t="str">
        <f aca="false">IF(ISBLANK(Instruments!A7),"",","&amp;""""&amp;Instruments!B$1&amp;""""&amp;":"&amp;""""&amp;Instruments!B7&amp;"""")</f>
        <v>,"type":"IRS"</v>
      </c>
      <c r="D6" s="0" t="str">
        <f aca="false">IF(ISBLANK(Instruments!B7),"",","&amp;""""&amp;Instruments!C$1&amp;""""&amp;":"&amp;""""&amp;Instruments!C7&amp;"""")</f>
        <v>,"subtype":"OIS"</v>
      </c>
      <c r="E6" s="0" t="e">
        <f aca="false">IF(ISBLANK(Instruments!C7),"",","&amp;""""&amp;Instruments!D$1&amp;""""&amp;":"&amp;""""&amp;TEXT(Instruments!D7,"yyyy-mm-dd")&amp;"""")</f>
        <v>#NAME?</v>
      </c>
      <c r="F6" s="0" t="e">
        <f aca="false">IF(ISBLANK(Instruments!D7),"",","&amp;""""&amp;Instruments!E$1&amp;""""&amp;":"&amp;""""&amp;TEXT(Instruments!E7,"yyyy-mm-dd")&amp;"""")</f>
        <v>#NAME?</v>
      </c>
      <c r="G6" s="0" t="e">
        <f aca="false">IF(ISBLANK(Instruments!E7),"",","&amp;""""&amp;Instruments!F$1&amp;""""&amp;":"&amp;""""&amp;Instruments!F7&amp;"""")</f>
        <v>#NAME?</v>
      </c>
      <c r="H6" s="0" t="e">
        <f aca="false">IF(ISBLANK(Instruments!F7),"",","&amp;""""&amp;Instruments!G$1&amp;""""&amp;":"&amp;""""&amp;Instruments!G7&amp;"""")</f>
        <v>#NAME?</v>
      </c>
      <c r="I6" s="0" t="str">
        <f aca="false">IF(ISBLANK(Instruments!G7),"",","&amp;""""&amp;Instruments!H$1&amp;""""&amp;":"&amp;""""&amp;Instruments!H7&amp;"""")</f>
        <v>,"params":""</v>
      </c>
      <c r="J6" s="0" t="str">
        <f aca="false">IF(ISBLANK(Instruments!I7),"",","&amp;""""&amp;Instruments!I$1&amp;""""&amp;":"&amp;""""&amp;Instruments!I7&amp;""""&amp;"}")</f>
        <v>,"tenor":"6M"}</v>
      </c>
    </row>
    <row r="7" customFormat="false" ht="15" hidden="false" customHeight="false" outlineLevel="0" collapsed="false">
      <c r="A7" s="0" t="e">
        <f aca="false">_xlfn.CONCAT(B7:J7)</f>
        <v>#NAME?</v>
      </c>
      <c r="B7" s="0" t="str">
        <f aca="false">IF(ISBLANK(Instruments!A8),"","{"&amp;""""&amp;Instruments!A$1&amp;""""&amp;":"&amp;""""&amp;Instruments!A8&amp;"""")</f>
        <v>{"curve":"sofr"</v>
      </c>
      <c r="C7" s="0" t="str">
        <f aca="false">IF(ISBLANK(Instruments!A8),"",","&amp;""""&amp;Instruments!B$1&amp;""""&amp;":"&amp;""""&amp;Instruments!B8&amp;"""")</f>
        <v>,"type":"IRS"</v>
      </c>
      <c r="D7" s="0" t="str">
        <f aca="false">IF(ISBLANK(Instruments!B8),"",","&amp;""""&amp;Instruments!C$1&amp;""""&amp;":"&amp;""""&amp;Instruments!C8&amp;"""")</f>
        <v>,"subtype":"OIS"</v>
      </c>
      <c r="E7" s="0" t="e">
        <f aca="false">IF(ISBLANK(Instruments!C8),"",","&amp;""""&amp;Instruments!D$1&amp;""""&amp;":"&amp;""""&amp;TEXT(Instruments!D8,"yyyy-mm-dd")&amp;"""")</f>
        <v>#NAME?</v>
      </c>
      <c r="F7" s="0" t="e">
        <f aca="false">IF(ISBLANK(Instruments!D8),"",","&amp;""""&amp;Instruments!E$1&amp;""""&amp;":"&amp;""""&amp;TEXT(Instruments!E8,"yyyy-mm-dd")&amp;"""")</f>
        <v>#NAME?</v>
      </c>
      <c r="G7" s="0" t="e">
        <f aca="false">IF(ISBLANK(Instruments!E8),"",","&amp;""""&amp;Instruments!F$1&amp;""""&amp;":"&amp;""""&amp;Instruments!F8&amp;"""")</f>
        <v>#NAME?</v>
      </c>
      <c r="H7" s="0" t="e">
        <f aca="false">IF(ISBLANK(Instruments!F8),"",","&amp;""""&amp;Instruments!G$1&amp;""""&amp;":"&amp;""""&amp;Instruments!G8&amp;"""")</f>
        <v>#NAME?</v>
      </c>
      <c r="I7" s="0" t="str">
        <f aca="false">IF(ISBLANK(Instruments!G8),"",","&amp;""""&amp;Instruments!H$1&amp;""""&amp;":"&amp;""""&amp;Instruments!H8&amp;"""")</f>
        <v>,"params":""</v>
      </c>
      <c r="J7" s="0" t="str">
        <f aca="false">IF(ISBLANK(Instruments!I8),"",","&amp;""""&amp;Instruments!I$1&amp;""""&amp;":"&amp;""""&amp;Instruments!I8&amp;""""&amp;"}")</f>
        <v>,"tenor":"7M"}</v>
      </c>
    </row>
    <row r="8" customFormat="false" ht="15" hidden="false" customHeight="false" outlineLevel="0" collapsed="false">
      <c r="A8" s="0" t="e">
        <f aca="false">_xlfn.CONCAT(B8:J8)</f>
        <v>#NAME?</v>
      </c>
      <c r="B8" s="0" t="str">
        <f aca="false">IF(ISBLANK(Instruments!A9),"","{"&amp;""""&amp;Instruments!A$1&amp;""""&amp;":"&amp;""""&amp;Instruments!A9&amp;"""")</f>
        <v>{"curve":"sofr"</v>
      </c>
      <c r="C8" s="0" t="str">
        <f aca="false">IF(ISBLANK(Instruments!A9),"",","&amp;""""&amp;Instruments!B$1&amp;""""&amp;":"&amp;""""&amp;Instruments!B9&amp;"""")</f>
        <v>,"type":"IRS"</v>
      </c>
      <c r="D8" s="0" t="str">
        <f aca="false">IF(ISBLANK(Instruments!B9),"",","&amp;""""&amp;Instruments!C$1&amp;""""&amp;":"&amp;""""&amp;Instruments!C9&amp;"""")</f>
        <v>,"subtype":"OIS"</v>
      </c>
      <c r="E8" s="0" t="e">
        <f aca="false">IF(ISBLANK(Instruments!C9),"",","&amp;""""&amp;Instruments!D$1&amp;""""&amp;":"&amp;""""&amp;TEXT(Instruments!D9,"yyyy-mm-dd")&amp;"""")</f>
        <v>#NAME?</v>
      </c>
      <c r="F8" s="0" t="e">
        <f aca="false">IF(ISBLANK(Instruments!D9),"",","&amp;""""&amp;Instruments!E$1&amp;""""&amp;":"&amp;""""&amp;TEXT(Instruments!E9,"yyyy-mm-dd")&amp;"""")</f>
        <v>#NAME?</v>
      </c>
      <c r="G8" s="0" t="e">
        <f aca="false">IF(ISBLANK(Instruments!E9),"",","&amp;""""&amp;Instruments!F$1&amp;""""&amp;":"&amp;""""&amp;Instruments!F9&amp;"""")</f>
        <v>#NAME?</v>
      </c>
      <c r="H8" s="0" t="e">
        <f aca="false">IF(ISBLANK(Instruments!F9),"",","&amp;""""&amp;Instruments!G$1&amp;""""&amp;":"&amp;""""&amp;Instruments!G9&amp;"""")</f>
        <v>#NAME?</v>
      </c>
      <c r="I8" s="0" t="str">
        <f aca="false">IF(ISBLANK(Instruments!G9),"",","&amp;""""&amp;Instruments!H$1&amp;""""&amp;":"&amp;""""&amp;Instruments!H9&amp;"""")</f>
        <v>,"params":""</v>
      </c>
      <c r="J8" s="0" t="str">
        <f aca="false">IF(ISBLANK(Instruments!I9),"",","&amp;""""&amp;Instruments!I$1&amp;""""&amp;":"&amp;""""&amp;Instruments!I9&amp;""""&amp;"}")</f>
        <v>,"tenor":"8M"}</v>
      </c>
    </row>
    <row r="9" customFormat="false" ht="15" hidden="false" customHeight="false" outlineLevel="0" collapsed="false">
      <c r="A9" s="0" t="e">
        <f aca="false">_xlfn.CONCAT(B9:J9)</f>
        <v>#NAME?</v>
      </c>
      <c r="B9" s="0" t="str">
        <f aca="false">IF(ISBLANK(Instruments!A10),"","{"&amp;""""&amp;Instruments!A$1&amp;""""&amp;":"&amp;""""&amp;Instruments!A10&amp;"""")</f>
        <v>{"curve":"sofr"</v>
      </c>
      <c r="C9" s="0" t="str">
        <f aca="false">IF(ISBLANK(Instruments!A10),"",","&amp;""""&amp;Instruments!B$1&amp;""""&amp;":"&amp;""""&amp;Instruments!B10&amp;"""")</f>
        <v>,"type":"IRS"</v>
      </c>
      <c r="D9" s="0" t="str">
        <f aca="false">IF(ISBLANK(Instruments!B10),"",","&amp;""""&amp;Instruments!C$1&amp;""""&amp;":"&amp;""""&amp;Instruments!C10&amp;"""")</f>
        <v>,"subtype":"OIS"</v>
      </c>
      <c r="E9" s="0" t="e">
        <f aca="false">IF(ISBLANK(Instruments!C10),"",","&amp;""""&amp;Instruments!D$1&amp;""""&amp;":"&amp;""""&amp;TEXT(Instruments!D10,"yyyy-mm-dd")&amp;"""")</f>
        <v>#NAME?</v>
      </c>
      <c r="F9" s="0" t="e">
        <f aca="false">IF(ISBLANK(Instruments!D10),"",","&amp;""""&amp;Instruments!E$1&amp;""""&amp;":"&amp;""""&amp;TEXT(Instruments!E10,"yyyy-mm-dd")&amp;"""")</f>
        <v>#NAME?</v>
      </c>
      <c r="G9" s="0" t="e">
        <f aca="false">IF(ISBLANK(Instruments!E10),"",","&amp;""""&amp;Instruments!F$1&amp;""""&amp;":"&amp;""""&amp;Instruments!F10&amp;"""")</f>
        <v>#NAME?</v>
      </c>
      <c r="H9" s="0" t="e">
        <f aca="false">IF(ISBLANK(Instruments!F10),"",","&amp;""""&amp;Instruments!G$1&amp;""""&amp;":"&amp;""""&amp;Instruments!G10&amp;"""")</f>
        <v>#NAME?</v>
      </c>
      <c r="I9" s="0" t="str">
        <f aca="false">IF(ISBLANK(Instruments!G10),"",","&amp;""""&amp;Instruments!H$1&amp;""""&amp;":"&amp;""""&amp;Instruments!H10&amp;"""")</f>
        <v>,"params":""</v>
      </c>
      <c r="J9" s="0" t="str">
        <f aca="false">IF(ISBLANK(Instruments!I10),"",","&amp;""""&amp;Instruments!I$1&amp;""""&amp;":"&amp;""""&amp;Instruments!I10&amp;""""&amp;"}")</f>
        <v>,"tenor":"9M"}</v>
      </c>
    </row>
    <row r="10" customFormat="false" ht="15" hidden="false" customHeight="false" outlineLevel="0" collapsed="false">
      <c r="A10" s="0" t="e">
        <f aca="false">_xlfn.CONCAT(B10:J10)</f>
        <v>#NAME?</v>
      </c>
      <c r="B10" s="0" t="str">
        <f aca="false">IF(ISBLANK(Instruments!A11),"","{"&amp;""""&amp;Instruments!A$1&amp;""""&amp;":"&amp;""""&amp;Instruments!A11&amp;"""")</f>
        <v>{"curve":"sofr"</v>
      </c>
      <c r="C10" s="0" t="str">
        <f aca="false">IF(ISBLANK(Instruments!A11),"",","&amp;""""&amp;Instruments!B$1&amp;""""&amp;":"&amp;""""&amp;Instruments!B11&amp;"""")</f>
        <v>,"type":"IRS"</v>
      </c>
      <c r="D10" s="0" t="str">
        <f aca="false">IF(ISBLANK(Instruments!B11),"",","&amp;""""&amp;Instruments!C$1&amp;""""&amp;":"&amp;""""&amp;Instruments!C11&amp;"""")</f>
        <v>,"subtype":"OIS"</v>
      </c>
      <c r="E10" s="0" t="e">
        <f aca="false">IF(ISBLANK(Instruments!C11),"",","&amp;""""&amp;Instruments!D$1&amp;""""&amp;":"&amp;""""&amp;TEXT(Instruments!D11,"yyyy-mm-dd")&amp;"""")</f>
        <v>#NAME?</v>
      </c>
      <c r="F10" s="0" t="e">
        <f aca="false">IF(ISBLANK(Instruments!D11),"",","&amp;""""&amp;Instruments!E$1&amp;""""&amp;":"&amp;""""&amp;TEXT(Instruments!E11,"yyyy-mm-dd")&amp;"""")</f>
        <v>#NAME?</v>
      </c>
      <c r="G10" s="0" t="e">
        <f aca="false">IF(ISBLANK(Instruments!E11),"",","&amp;""""&amp;Instruments!F$1&amp;""""&amp;":"&amp;""""&amp;Instruments!F11&amp;"""")</f>
        <v>#NAME?</v>
      </c>
      <c r="H10" s="0" t="e">
        <f aca="false">IF(ISBLANK(Instruments!F11),"",","&amp;""""&amp;Instruments!G$1&amp;""""&amp;":"&amp;""""&amp;Instruments!G11&amp;"""")</f>
        <v>#NAME?</v>
      </c>
      <c r="I10" s="0" t="str">
        <f aca="false">IF(ISBLANK(Instruments!G11),"",","&amp;""""&amp;Instruments!H$1&amp;""""&amp;":"&amp;""""&amp;Instruments!H11&amp;"""")</f>
        <v>,"params":""</v>
      </c>
      <c r="J10" s="0" t="str">
        <f aca="false">IF(ISBLANK(Instruments!I11),"",","&amp;""""&amp;Instruments!I$1&amp;""""&amp;":"&amp;""""&amp;Instruments!I11&amp;""""&amp;"}")</f>
        <v>,"tenor":"10M"}</v>
      </c>
    </row>
    <row r="11" customFormat="false" ht="15" hidden="false" customHeight="false" outlineLevel="0" collapsed="false">
      <c r="A11" s="0" t="e">
        <f aca="false">_xlfn.CONCAT(B11:J11)</f>
        <v>#NAME?</v>
      </c>
      <c r="B11" s="0" t="str">
        <f aca="false">IF(ISBLANK(Instruments!A12),"","{"&amp;""""&amp;Instruments!A$1&amp;""""&amp;":"&amp;""""&amp;Instruments!A12&amp;"""")</f>
        <v>{"curve":"sofr"</v>
      </c>
      <c r="C11" s="0" t="str">
        <f aca="false">IF(ISBLANK(Instruments!A12),"",","&amp;""""&amp;Instruments!B$1&amp;""""&amp;":"&amp;""""&amp;Instruments!B12&amp;"""")</f>
        <v>,"type":"IRS"</v>
      </c>
      <c r="D11" s="0" t="str">
        <f aca="false">IF(ISBLANK(Instruments!B12),"",","&amp;""""&amp;Instruments!C$1&amp;""""&amp;":"&amp;""""&amp;Instruments!C12&amp;"""")</f>
        <v>,"subtype":"OIS"</v>
      </c>
      <c r="E11" s="0" t="e">
        <f aca="false">IF(ISBLANK(Instruments!C12),"",","&amp;""""&amp;Instruments!D$1&amp;""""&amp;":"&amp;""""&amp;TEXT(Instruments!D12,"yyyy-mm-dd")&amp;"""")</f>
        <v>#NAME?</v>
      </c>
      <c r="F11" s="0" t="e">
        <f aca="false">IF(ISBLANK(Instruments!D12),"",","&amp;""""&amp;Instruments!E$1&amp;""""&amp;":"&amp;""""&amp;TEXT(Instruments!E12,"yyyy-mm-dd")&amp;"""")</f>
        <v>#NAME?</v>
      </c>
      <c r="G11" s="0" t="e">
        <f aca="false">IF(ISBLANK(Instruments!E12),"",","&amp;""""&amp;Instruments!F$1&amp;""""&amp;":"&amp;""""&amp;Instruments!F12&amp;"""")</f>
        <v>#NAME?</v>
      </c>
      <c r="H11" s="0" t="e">
        <f aca="false">IF(ISBLANK(Instruments!F12),"",","&amp;""""&amp;Instruments!G$1&amp;""""&amp;":"&amp;""""&amp;Instruments!G12&amp;"""")</f>
        <v>#NAME?</v>
      </c>
      <c r="I11" s="0" t="str">
        <f aca="false">IF(ISBLANK(Instruments!G12),"",","&amp;""""&amp;Instruments!H$1&amp;""""&amp;":"&amp;""""&amp;Instruments!H12&amp;"""")</f>
        <v>,"params":""</v>
      </c>
      <c r="J11" s="0" t="str">
        <f aca="false">IF(ISBLANK(Instruments!I12),"",","&amp;""""&amp;Instruments!I$1&amp;""""&amp;":"&amp;""""&amp;Instruments!I12&amp;""""&amp;"}")</f>
        <v>,"tenor":"11M"}</v>
      </c>
    </row>
    <row r="12" customFormat="false" ht="15" hidden="false" customHeight="false" outlineLevel="0" collapsed="false">
      <c r="A12" s="0" t="e">
        <f aca="false">_xlfn.CONCAT(B12:J12)</f>
        <v>#NAME?</v>
      </c>
      <c r="B12" s="0" t="str">
        <f aca="false">IF(ISBLANK(Instruments!A13),"","{"&amp;""""&amp;Instruments!A$1&amp;""""&amp;":"&amp;""""&amp;Instruments!A13&amp;"""")</f>
        <v>{"curve":"sofr"</v>
      </c>
      <c r="C12" s="0" t="str">
        <f aca="false">IF(ISBLANK(Instruments!A13),"",","&amp;""""&amp;Instruments!B$1&amp;""""&amp;":"&amp;""""&amp;Instruments!B13&amp;"""")</f>
        <v>,"type":"IRS"</v>
      </c>
      <c r="D12" s="0" t="str">
        <f aca="false">IF(ISBLANK(Instruments!B13),"",","&amp;""""&amp;Instruments!C$1&amp;""""&amp;":"&amp;""""&amp;Instruments!C13&amp;"""")</f>
        <v>,"subtype":"OIS"</v>
      </c>
      <c r="E12" s="0" t="e">
        <f aca="false">IF(ISBLANK(Instruments!C13),"",","&amp;""""&amp;Instruments!D$1&amp;""""&amp;":"&amp;""""&amp;TEXT(Instruments!D13,"yyyy-mm-dd")&amp;"""")</f>
        <v>#NAME?</v>
      </c>
      <c r="F12" s="0" t="e">
        <f aca="false">IF(ISBLANK(Instruments!D13),"",","&amp;""""&amp;Instruments!E$1&amp;""""&amp;":"&amp;""""&amp;TEXT(Instruments!E13,"yyyy-mm-dd")&amp;"""")</f>
        <v>#NAME?</v>
      </c>
      <c r="G12" s="0" t="e">
        <f aca="false">IF(ISBLANK(Instruments!E13),"",","&amp;""""&amp;Instruments!F$1&amp;""""&amp;":"&amp;""""&amp;Instruments!F13&amp;"""")</f>
        <v>#NAME?</v>
      </c>
      <c r="H12" s="0" t="e">
        <f aca="false">IF(ISBLANK(Instruments!F13),"",","&amp;""""&amp;Instruments!G$1&amp;""""&amp;":"&amp;""""&amp;Instruments!G13&amp;"""")</f>
        <v>#NAME?</v>
      </c>
      <c r="I12" s="0" t="str">
        <f aca="false">IF(ISBLANK(Instruments!G13),"",","&amp;""""&amp;Instruments!H$1&amp;""""&amp;":"&amp;""""&amp;Instruments!H13&amp;"""")</f>
        <v>,"params":""</v>
      </c>
      <c r="J12" s="0" t="str">
        <f aca="false">IF(ISBLANK(Instruments!I13),"",","&amp;""""&amp;Instruments!I$1&amp;""""&amp;":"&amp;""""&amp;Instruments!I13&amp;""""&amp;"}")</f>
        <v>,"tenor":"1Y"}</v>
      </c>
    </row>
    <row r="13" customFormat="false" ht="15" hidden="false" customHeight="false" outlineLevel="0" collapsed="false">
      <c r="A13" s="0" t="e">
        <f aca="false">_xlfn.CONCAT(B13:J13)</f>
        <v>#NAME?</v>
      </c>
      <c r="B13" s="0" t="str">
        <f aca="false">IF(ISBLANK(Instruments!A14),"","{"&amp;""""&amp;Instruments!A$1&amp;""""&amp;":"&amp;""""&amp;Instruments!A14&amp;"""")</f>
        <v>{"curve":"sofr"</v>
      </c>
      <c r="C13" s="0" t="str">
        <f aca="false">IF(ISBLANK(Instruments!A14),"",","&amp;""""&amp;Instruments!B$1&amp;""""&amp;":"&amp;""""&amp;Instruments!B14&amp;"""")</f>
        <v>,"type":"IRS"</v>
      </c>
      <c r="D13" s="0" t="str">
        <f aca="false">IF(ISBLANK(Instruments!B14),"",","&amp;""""&amp;Instruments!C$1&amp;""""&amp;":"&amp;""""&amp;Instruments!C14&amp;"""")</f>
        <v>,"subtype":"OIS"</v>
      </c>
      <c r="E13" s="0" t="e">
        <f aca="false">IF(ISBLANK(Instruments!C14),"",","&amp;""""&amp;Instruments!D$1&amp;""""&amp;":"&amp;""""&amp;TEXT(Instruments!D14,"yyyy-mm-dd")&amp;"""")</f>
        <v>#NAME?</v>
      </c>
      <c r="F13" s="0" t="e">
        <f aca="false">IF(ISBLANK(Instruments!D14),"",","&amp;""""&amp;Instruments!E$1&amp;""""&amp;":"&amp;""""&amp;TEXT(Instruments!E14,"yyyy-mm-dd")&amp;"""")</f>
        <v>#NAME?</v>
      </c>
      <c r="G13" s="0" t="e">
        <f aca="false">IF(ISBLANK(Instruments!E14),"",","&amp;""""&amp;Instruments!F$1&amp;""""&amp;":"&amp;""""&amp;Instruments!F14&amp;"""")</f>
        <v>#NAME?</v>
      </c>
      <c r="H13" s="0" t="e">
        <f aca="false">IF(ISBLANK(Instruments!F14),"",","&amp;""""&amp;Instruments!G$1&amp;""""&amp;":"&amp;""""&amp;Instruments!G14&amp;"""")</f>
        <v>#NAME?</v>
      </c>
      <c r="I13" s="0" t="str">
        <f aca="false">IF(ISBLANK(Instruments!G14),"",","&amp;""""&amp;Instruments!H$1&amp;""""&amp;":"&amp;""""&amp;Instruments!H14&amp;"""")</f>
        <v>,"params":""</v>
      </c>
      <c r="J13" s="0" t="str">
        <f aca="false">IF(ISBLANK(Instruments!I14),"",","&amp;""""&amp;Instruments!I$1&amp;""""&amp;":"&amp;""""&amp;Instruments!I14&amp;""""&amp;"}")</f>
        <v>,"tenor":"2Y"}</v>
      </c>
    </row>
    <row r="14" customFormat="false" ht="15" hidden="false" customHeight="false" outlineLevel="0" collapsed="false">
      <c r="A14" s="0" t="e">
        <f aca="false">_xlfn.CONCAT(B14:J14)</f>
        <v>#NAME?</v>
      </c>
      <c r="B14" s="0" t="str">
        <f aca="false">IF(ISBLANK(Instruments!A15),"","{"&amp;""""&amp;Instruments!A$1&amp;""""&amp;":"&amp;""""&amp;Instruments!A15&amp;"""")</f>
        <v>{"curve":"sofr"</v>
      </c>
      <c r="C14" s="0" t="str">
        <f aca="false">IF(ISBLANK(Instruments!A15),"",","&amp;""""&amp;Instruments!B$1&amp;""""&amp;":"&amp;""""&amp;Instruments!B15&amp;"""")</f>
        <v>,"type":"IRS"</v>
      </c>
      <c r="D14" s="0" t="str">
        <f aca="false">IF(ISBLANK(Instruments!B15),"",","&amp;""""&amp;Instruments!C$1&amp;""""&amp;":"&amp;""""&amp;Instruments!C15&amp;"""")</f>
        <v>,"subtype":"OIS"</v>
      </c>
      <c r="E14" s="0" t="e">
        <f aca="false">IF(ISBLANK(Instruments!C15),"",","&amp;""""&amp;Instruments!D$1&amp;""""&amp;":"&amp;""""&amp;TEXT(Instruments!D15,"yyyy-mm-dd")&amp;"""")</f>
        <v>#NAME?</v>
      </c>
      <c r="F14" s="0" t="e">
        <f aca="false">IF(ISBLANK(Instruments!D15),"",","&amp;""""&amp;Instruments!E$1&amp;""""&amp;":"&amp;""""&amp;TEXT(Instruments!E15,"yyyy-mm-dd")&amp;"""")</f>
        <v>#NAME?</v>
      </c>
      <c r="G14" s="0" t="e">
        <f aca="false">IF(ISBLANK(Instruments!E15),"",","&amp;""""&amp;Instruments!F$1&amp;""""&amp;":"&amp;""""&amp;Instruments!F15&amp;"""")</f>
        <v>#NAME?</v>
      </c>
      <c r="H14" s="0" t="e">
        <f aca="false">IF(ISBLANK(Instruments!F15),"",","&amp;""""&amp;Instruments!G$1&amp;""""&amp;":"&amp;""""&amp;Instruments!G15&amp;"""")</f>
        <v>#NAME?</v>
      </c>
      <c r="I14" s="0" t="str">
        <f aca="false">IF(ISBLANK(Instruments!G15),"",","&amp;""""&amp;Instruments!H$1&amp;""""&amp;":"&amp;""""&amp;Instruments!H15&amp;"""")</f>
        <v>,"params":""</v>
      </c>
      <c r="J14" s="0" t="str">
        <f aca="false">IF(ISBLANK(Instruments!I15),"",","&amp;""""&amp;Instruments!I$1&amp;""""&amp;":"&amp;""""&amp;Instruments!I15&amp;""""&amp;"}")</f>
        <v>,"tenor":"3Y"}</v>
      </c>
    </row>
    <row r="15" customFormat="false" ht="15" hidden="false" customHeight="false" outlineLevel="0" collapsed="false">
      <c r="A15" s="0" t="e">
        <f aca="false">_xlfn.CONCAT(B15:J15)</f>
        <v>#NAME?</v>
      </c>
      <c r="B15" s="0" t="str">
        <f aca="false">IF(ISBLANK(Instruments!A16),"","{"&amp;""""&amp;Instruments!A$1&amp;""""&amp;":"&amp;""""&amp;Instruments!A16&amp;"""")</f>
        <v>{"curve":"sofr"</v>
      </c>
      <c r="C15" s="0" t="str">
        <f aca="false">IF(ISBLANK(Instruments!A16),"",","&amp;""""&amp;Instruments!B$1&amp;""""&amp;":"&amp;""""&amp;Instruments!B16&amp;"""")</f>
        <v>,"type":"IRS"</v>
      </c>
      <c r="D15" s="0" t="str">
        <f aca="false">IF(ISBLANK(Instruments!B16),"",","&amp;""""&amp;Instruments!C$1&amp;""""&amp;":"&amp;""""&amp;Instruments!C16&amp;"""")</f>
        <v>,"subtype":"OIS"</v>
      </c>
      <c r="E15" s="0" t="e">
        <f aca="false">IF(ISBLANK(Instruments!C16),"",","&amp;""""&amp;Instruments!D$1&amp;""""&amp;":"&amp;""""&amp;TEXT(Instruments!D16,"yyyy-mm-dd")&amp;"""")</f>
        <v>#NAME?</v>
      </c>
      <c r="F15" s="0" t="e">
        <f aca="false">IF(ISBLANK(Instruments!D16),"",","&amp;""""&amp;Instruments!E$1&amp;""""&amp;":"&amp;""""&amp;TEXT(Instruments!E16,"yyyy-mm-dd")&amp;"""")</f>
        <v>#NAME?</v>
      </c>
      <c r="G15" s="0" t="e">
        <f aca="false">IF(ISBLANK(Instruments!E16),"",","&amp;""""&amp;Instruments!F$1&amp;""""&amp;":"&amp;""""&amp;Instruments!F16&amp;"""")</f>
        <v>#NAME?</v>
      </c>
      <c r="H15" s="0" t="e">
        <f aca="false">IF(ISBLANK(Instruments!F16),"",","&amp;""""&amp;Instruments!G$1&amp;""""&amp;":"&amp;""""&amp;Instruments!G16&amp;"""")</f>
        <v>#NAME?</v>
      </c>
      <c r="I15" s="0" t="str">
        <f aca="false">IF(ISBLANK(Instruments!G16),"",","&amp;""""&amp;Instruments!H$1&amp;""""&amp;":"&amp;""""&amp;Instruments!H16&amp;"""")</f>
        <v>,"params":""</v>
      </c>
      <c r="J15" s="0" t="str">
        <f aca="false">IF(ISBLANK(Instruments!I16),"",","&amp;""""&amp;Instruments!I$1&amp;""""&amp;":"&amp;""""&amp;Instruments!I16&amp;""""&amp;"}")</f>
        <v>,"tenor":"4Y"}</v>
      </c>
    </row>
    <row r="16" customFormat="false" ht="15" hidden="false" customHeight="false" outlineLevel="0" collapsed="false">
      <c r="A16" s="0" t="e">
        <f aca="false">_xlfn.CONCAT(B16:J16)</f>
        <v>#NAME?</v>
      </c>
      <c r="B16" s="0" t="str">
        <f aca="false">IF(ISBLANK(Instruments!A17),"","{"&amp;""""&amp;Instruments!A$1&amp;""""&amp;":"&amp;""""&amp;Instruments!A17&amp;"""")</f>
        <v>{"curve":"sofr"</v>
      </c>
      <c r="C16" s="0" t="str">
        <f aca="false">IF(ISBLANK(Instruments!A17),"",","&amp;""""&amp;Instruments!B$1&amp;""""&amp;":"&amp;""""&amp;Instruments!B17&amp;"""")</f>
        <v>,"type":"IRS"</v>
      </c>
      <c r="D16" s="0" t="str">
        <f aca="false">IF(ISBLANK(Instruments!B17),"",","&amp;""""&amp;Instruments!C$1&amp;""""&amp;":"&amp;""""&amp;Instruments!C17&amp;"""")</f>
        <v>,"subtype":"OIS"</v>
      </c>
      <c r="E16" s="0" t="e">
        <f aca="false">IF(ISBLANK(Instruments!C17),"",","&amp;""""&amp;Instruments!D$1&amp;""""&amp;":"&amp;""""&amp;TEXT(Instruments!D17,"yyyy-mm-dd")&amp;"""")</f>
        <v>#NAME?</v>
      </c>
      <c r="F16" s="0" t="e">
        <f aca="false">IF(ISBLANK(Instruments!D17),"",","&amp;""""&amp;Instruments!E$1&amp;""""&amp;":"&amp;""""&amp;TEXT(Instruments!E17,"yyyy-mm-dd")&amp;"""")</f>
        <v>#NAME?</v>
      </c>
      <c r="G16" s="0" t="e">
        <f aca="false">IF(ISBLANK(Instruments!E17),"",","&amp;""""&amp;Instruments!F$1&amp;""""&amp;":"&amp;""""&amp;Instruments!F17&amp;"""")</f>
        <v>#NAME?</v>
      </c>
      <c r="H16" s="0" t="e">
        <f aca="false">IF(ISBLANK(Instruments!F17),"",","&amp;""""&amp;Instruments!G$1&amp;""""&amp;":"&amp;""""&amp;Instruments!G17&amp;"""")</f>
        <v>#NAME?</v>
      </c>
      <c r="I16" s="0" t="str">
        <f aca="false">IF(ISBLANK(Instruments!G17),"",","&amp;""""&amp;Instruments!H$1&amp;""""&amp;":"&amp;""""&amp;Instruments!H17&amp;"""")</f>
        <v>,"params":""</v>
      </c>
      <c r="J16" s="0" t="str">
        <f aca="false">IF(ISBLANK(Instruments!I17),"",","&amp;""""&amp;Instruments!I$1&amp;""""&amp;":"&amp;""""&amp;Instruments!I17&amp;""""&amp;"}")</f>
        <v>,"tenor":"5Y"}</v>
      </c>
    </row>
    <row r="17" customFormat="false" ht="15" hidden="false" customHeight="false" outlineLevel="0" collapsed="false">
      <c r="A17" s="0" t="e">
        <f aca="false">_xlfn.CONCAT(B17:J17)</f>
        <v>#NAME?</v>
      </c>
      <c r="B17" s="0" t="str">
        <f aca="false">IF(ISBLANK(Instruments!A18),"","{"&amp;""""&amp;Instruments!A$1&amp;""""&amp;":"&amp;""""&amp;Instruments!A18&amp;"""")</f>
        <v>{"curve":"sofr"</v>
      </c>
      <c r="C17" s="0" t="str">
        <f aca="false">IF(ISBLANK(Instruments!A18),"",","&amp;""""&amp;Instruments!B$1&amp;""""&amp;":"&amp;""""&amp;Instruments!B18&amp;"""")</f>
        <v>,"type":"IRS"</v>
      </c>
      <c r="D17" s="0" t="str">
        <f aca="false">IF(ISBLANK(Instruments!B18),"",","&amp;""""&amp;Instruments!C$1&amp;""""&amp;":"&amp;""""&amp;Instruments!C18&amp;"""")</f>
        <v>,"subtype":"CBOIS"</v>
      </c>
      <c r="E17" s="0" t="e">
        <f aca="false">IF(ISBLANK(Instruments!C18),"",","&amp;""""&amp;Instruments!D$1&amp;""""&amp;":"&amp;""""&amp;TEXT(Instruments!D18,"yyyy-mm-dd")&amp;"""")</f>
        <v>#NAME?</v>
      </c>
      <c r="F17" s="0" t="e">
        <f aca="false">IF(ISBLANK(Instruments!D18),"",","&amp;""""&amp;Instruments!E$1&amp;""""&amp;":"&amp;""""&amp;TEXT(Instruments!E18,"yyyy-mm-dd")&amp;"""")</f>
        <v>#NAME?</v>
      </c>
      <c r="G17" s="0" t="e">
        <f aca="false">IF(ISBLANK(Instruments!E18),"",","&amp;""""&amp;Instruments!F$1&amp;""""&amp;":"&amp;""""&amp;Instruments!F18&amp;"""")</f>
        <v>#NAME?</v>
      </c>
      <c r="H17" s="0" t="e">
        <f aca="false">IF(ISBLANK(Instruments!F18),"",","&amp;""""&amp;Instruments!G$1&amp;""""&amp;":"&amp;""""&amp;Instruments!G18&amp;"""")</f>
        <v>#NAME?</v>
      </c>
      <c r="I17" s="0" t="str">
        <f aca="false">IF(ISBLANK(Instruments!G18),"",","&amp;""""&amp;Instruments!H$1&amp;""""&amp;":"&amp;""""&amp;Instruments!H18&amp;"""")</f>
        <v>,"params":""</v>
      </c>
      <c r="J17" s="0" t="str">
        <f aca="false">IF(ISBLANK(Instruments!I18),"",","&amp;""""&amp;Instruments!I$1&amp;""""&amp;":"&amp;""""&amp;Instruments!I18&amp;""""&amp;"}")</f>
        <v>,"tenor":"FED1"}</v>
      </c>
    </row>
    <row r="18" customFormat="false" ht="15" hidden="false" customHeight="false" outlineLevel="0" collapsed="false">
      <c r="A18" s="0" t="e">
        <f aca="false">_xlfn.CONCAT(B18:J18)</f>
        <v>#NAME?</v>
      </c>
      <c r="B18" s="0" t="str">
        <f aca="false">IF(ISBLANK(Instruments!A19),"","{"&amp;""""&amp;Instruments!A$1&amp;""""&amp;":"&amp;""""&amp;Instruments!A19&amp;"""")</f>
        <v>{"curve":"sofr"</v>
      </c>
      <c r="C18" s="0" t="str">
        <f aca="false">IF(ISBLANK(Instruments!A19),"",","&amp;""""&amp;Instruments!B$1&amp;""""&amp;":"&amp;""""&amp;Instruments!B19&amp;"""")</f>
        <v>,"type":"IRS"</v>
      </c>
      <c r="D18" s="0" t="str">
        <f aca="false">IF(ISBLANK(Instruments!B19),"",","&amp;""""&amp;Instruments!C$1&amp;""""&amp;":"&amp;""""&amp;Instruments!C19&amp;"""")</f>
        <v>,"subtype":"CBOIS"</v>
      </c>
      <c r="E18" s="0" t="e">
        <f aca="false">IF(ISBLANK(Instruments!C19),"",","&amp;""""&amp;Instruments!D$1&amp;""""&amp;":"&amp;""""&amp;TEXT(Instruments!D19,"yyyy-mm-dd")&amp;"""")</f>
        <v>#NAME?</v>
      </c>
      <c r="F18" s="0" t="e">
        <f aca="false">IF(ISBLANK(Instruments!D19),"",","&amp;""""&amp;Instruments!E$1&amp;""""&amp;":"&amp;""""&amp;TEXT(Instruments!E19,"yyyy-mm-dd")&amp;"""")</f>
        <v>#NAME?</v>
      </c>
      <c r="G18" s="0" t="e">
        <f aca="false">IF(ISBLANK(Instruments!E19),"",","&amp;""""&amp;Instruments!F$1&amp;""""&amp;":"&amp;""""&amp;Instruments!F19&amp;"""")</f>
        <v>#NAME?</v>
      </c>
      <c r="H18" s="0" t="e">
        <f aca="false">IF(ISBLANK(Instruments!F19),"",","&amp;""""&amp;Instruments!G$1&amp;""""&amp;":"&amp;""""&amp;Instruments!G19&amp;"""")</f>
        <v>#NAME?</v>
      </c>
      <c r="I18" s="0" t="str">
        <f aca="false">IF(ISBLANK(Instruments!G19),"",","&amp;""""&amp;Instruments!H$1&amp;""""&amp;":"&amp;""""&amp;Instruments!H19&amp;"""")</f>
        <v>,"params":""</v>
      </c>
      <c r="J18" s="0" t="str">
        <f aca="false">IF(ISBLANK(Instruments!I19),"",","&amp;""""&amp;Instruments!I$1&amp;""""&amp;":"&amp;""""&amp;Instruments!I19&amp;""""&amp;"}")</f>
        <v>,"tenor":"FED2"}</v>
      </c>
    </row>
    <row r="19" customFormat="false" ht="15" hidden="false" customHeight="false" outlineLevel="0" collapsed="false">
      <c r="A19" s="0" t="e">
        <f aca="false">_xlfn.CONCAT(B19:J19)</f>
        <v>#NAME?</v>
      </c>
      <c r="B19" s="0" t="str">
        <f aca="false">IF(ISBLANK(Instruments!A20),"","{"&amp;""""&amp;Instruments!A$1&amp;""""&amp;":"&amp;""""&amp;Instruments!A20&amp;"""")</f>
        <v>{"curve":"sofr"</v>
      </c>
      <c r="C19" s="0" t="str">
        <f aca="false">IF(ISBLANK(Instruments!A20),"",","&amp;""""&amp;Instruments!B$1&amp;""""&amp;":"&amp;""""&amp;Instruments!B20&amp;"""")</f>
        <v>,"type":"IRS"</v>
      </c>
      <c r="D19" s="0" t="str">
        <f aca="false">IF(ISBLANK(Instruments!B20),"",","&amp;""""&amp;Instruments!C$1&amp;""""&amp;":"&amp;""""&amp;Instruments!C20&amp;"""")</f>
        <v>,"subtype":"CBOIS"</v>
      </c>
      <c r="E19" s="0" t="e">
        <f aca="false">IF(ISBLANK(Instruments!C20),"",","&amp;""""&amp;Instruments!D$1&amp;""""&amp;":"&amp;""""&amp;TEXT(Instruments!D20,"yyyy-mm-dd")&amp;"""")</f>
        <v>#NAME?</v>
      </c>
      <c r="F19" s="0" t="e">
        <f aca="false">IF(ISBLANK(Instruments!D20),"",","&amp;""""&amp;Instruments!E$1&amp;""""&amp;":"&amp;""""&amp;TEXT(Instruments!E20,"yyyy-mm-dd")&amp;"""")</f>
        <v>#NAME?</v>
      </c>
      <c r="G19" s="0" t="e">
        <f aca="false">IF(ISBLANK(Instruments!E20),"",","&amp;""""&amp;Instruments!F$1&amp;""""&amp;":"&amp;""""&amp;Instruments!F20&amp;"""")</f>
        <v>#NAME?</v>
      </c>
      <c r="H19" s="0" t="e">
        <f aca="false">IF(ISBLANK(Instruments!F20),"",","&amp;""""&amp;Instruments!G$1&amp;""""&amp;":"&amp;""""&amp;Instruments!G20&amp;"""")</f>
        <v>#NAME?</v>
      </c>
      <c r="I19" s="0" t="str">
        <f aca="false">IF(ISBLANK(Instruments!G20),"",","&amp;""""&amp;Instruments!H$1&amp;""""&amp;":"&amp;""""&amp;Instruments!H20&amp;"""")</f>
        <v>,"params":""</v>
      </c>
      <c r="J19" s="0" t="str">
        <f aca="false">IF(ISBLANK(Instruments!I20),"",","&amp;""""&amp;Instruments!I$1&amp;""""&amp;":"&amp;""""&amp;Instruments!I20&amp;""""&amp;"}")</f>
        <v>,"tenor":"FED3"}</v>
      </c>
    </row>
    <row r="20" customFormat="false" ht="15" hidden="false" customHeight="false" outlineLevel="0" collapsed="false">
      <c r="A20" s="0" t="e">
        <f aca="false">_xlfn.CONCAT(B20:J20)</f>
        <v>#NAME?</v>
      </c>
      <c r="B20" s="0" t="str">
        <f aca="false">IF(ISBLANK(Instruments!A21),"","{"&amp;""""&amp;Instruments!A$1&amp;""""&amp;":"&amp;""""&amp;Instruments!A21&amp;"""")</f>
        <v>{"curve":"sofr"</v>
      </c>
      <c r="C20" s="0" t="str">
        <f aca="false">IF(ISBLANK(Instruments!A21),"",","&amp;""""&amp;Instruments!B$1&amp;""""&amp;":"&amp;""""&amp;Instruments!B21&amp;"""")</f>
        <v>,"type":"IRS"</v>
      </c>
      <c r="D20" s="0" t="str">
        <f aca="false">IF(ISBLANK(Instruments!B21),"",","&amp;""""&amp;Instruments!C$1&amp;""""&amp;":"&amp;""""&amp;Instruments!C21&amp;"""")</f>
        <v>,"subtype":"CBOIS"</v>
      </c>
      <c r="E20" s="0" t="e">
        <f aca="false">IF(ISBLANK(Instruments!C21),"",","&amp;""""&amp;Instruments!D$1&amp;""""&amp;":"&amp;""""&amp;TEXT(Instruments!D21,"yyyy-mm-dd")&amp;"""")</f>
        <v>#NAME?</v>
      </c>
      <c r="F20" s="0" t="e">
        <f aca="false">IF(ISBLANK(Instruments!D21),"",","&amp;""""&amp;Instruments!E$1&amp;""""&amp;":"&amp;""""&amp;TEXT(Instruments!E21,"yyyy-mm-dd")&amp;"""")</f>
        <v>#NAME?</v>
      </c>
      <c r="G20" s="0" t="e">
        <f aca="false">IF(ISBLANK(Instruments!E21),"",","&amp;""""&amp;Instruments!F$1&amp;""""&amp;":"&amp;""""&amp;Instruments!F21&amp;"""")</f>
        <v>#NAME?</v>
      </c>
      <c r="H20" s="0" t="e">
        <f aca="false">IF(ISBLANK(Instruments!F21),"",","&amp;""""&amp;Instruments!G$1&amp;""""&amp;":"&amp;""""&amp;Instruments!G21&amp;"""")</f>
        <v>#NAME?</v>
      </c>
      <c r="I20" s="0" t="str">
        <f aca="false">IF(ISBLANK(Instruments!G21),"",","&amp;""""&amp;Instruments!H$1&amp;""""&amp;":"&amp;""""&amp;Instruments!H21&amp;"""")</f>
        <v>,"params":""</v>
      </c>
      <c r="J20" s="0" t="str">
        <f aca="false">IF(ISBLANK(Instruments!I21),"",","&amp;""""&amp;Instruments!I$1&amp;""""&amp;":"&amp;""""&amp;Instruments!I21&amp;""""&amp;"}")</f>
        <v>,"tenor":"FED4"}</v>
      </c>
    </row>
    <row r="21" customFormat="false" ht="15" hidden="false" customHeight="false" outlineLevel="0" collapsed="false">
      <c r="A21" s="0" t="e">
        <f aca="false">_xlfn.CONCAT(B21:J21)</f>
        <v>#NAME?</v>
      </c>
      <c r="B21" s="0" t="str">
        <f aca="false">IF(ISBLANK(Instruments!A22),"","{"&amp;""""&amp;Instruments!A$1&amp;""""&amp;":"&amp;""""&amp;Instruments!A22&amp;"""")</f>
        <v>{"curve":"sofr"</v>
      </c>
      <c r="C21" s="0" t="str">
        <f aca="false">IF(ISBLANK(Instruments!A22),"",","&amp;""""&amp;Instruments!B$1&amp;""""&amp;":"&amp;""""&amp;Instruments!B22&amp;"""")</f>
        <v>,"type":"IRS"</v>
      </c>
      <c r="D21" s="0" t="str">
        <f aca="false">IF(ISBLANK(Instruments!B22),"",","&amp;""""&amp;Instruments!C$1&amp;""""&amp;":"&amp;""""&amp;Instruments!C22&amp;"""")</f>
        <v>,"subtype":"CBOIS"</v>
      </c>
      <c r="E21" s="0" t="e">
        <f aca="false">IF(ISBLANK(Instruments!C22),"",","&amp;""""&amp;Instruments!D$1&amp;""""&amp;":"&amp;""""&amp;TEXT(Instruments!D22,"yyyy-mm-dd")&amp;"""")</f>
        <v>#NAME?</v>
      </c>
      <c r="F21" s="0" t="e">
        <f aca="false">IF(ISBLANK(Instruments!D22),"",","&amp;""""&amp;Instruments!E$1&amp;""""&amp;":"&amp;""""&amp;TEXT(Instruments!E22,"yyyy-mm-dd")&amp;"""")</f>
        <v>#NAME?</v>
      </c>
      <c r="G21" s="0" t="e">
        <f aca="false">IF(ISBLANK(Instruments!E22),"",","&amp;""""&amp;Instruments!F$1&amp;""""&amp;":"&amp;""""&amp;Instruments!F22&amp;"""")</f>
        <v>#NAME?</v>
      </c>
      <c r="H21" s="0" t="e">
        <f aca="false">IF(ISBLANK(Instruments!F22),"",","&amp;""""&amp;Instruments!G$1&amp;""""&amp;":"&amp;""""&amp;Instruments!G22&amp;"""")</f>
        <v>#NAME?</v>
      </c>
      <c r="I21" s="0" t="str">
        <f aca="false">IF(ISBLANK(Instruments!G22),"",","&amp;""""&amp;Instruments!H$1&amp;""""&amp;":"&amp;""""&amp;Instruments!H22&amp;"""")</f>
        <v>,"params":""</v>
      </c>
      <c r="J21" s="0" t="str">
        <f aca="false">IF(ISBLANK(Instruments!I22),"",","&amp;""""&amp;Instruments!I$1&amp;""""&amp;":"&amp;""""&amp;Instruments!I22&amp;""""&amp;"}")</f>
        <v>,"tenor":"FED5"}</v>
      </c>
    </row>
    <row r="22" customFormat="false" ht="15" hidden="false" customHeight="false" outlineLevel="0" collapsed="false">
      <c r="A22" s="0" t="e">
        <f aca="false">_xlfn.CONCAT(B22:J22)</f>
        <v>#NAME?</v>
      </c>
      <c r="B22" s="0" t="str">
        <f aca="false">IF(ISBLANK(Instruments!A23),"","{"&amp;""""&amp;Instruments!A$1&amp;""""&amp;":"&amp;""""&amp;Instruments!A23&amp;"""")</f>
        <v>{"curve":"sofr"</v>
      </c>
      <c r="C22" s="0" t="str">
        <f aca="false">IF(ISBLANK(Instruments!A23),"",","&amp;""""&amp;Instruments!B$1&amp;""""&amp;":"&amp;""""&amp;Instruments!B23&amp;"""")</f>
        <v>,"type":"IRS"</v>
      </c>
      <c r="D22" s="0" t="str">
        <f aca="false">IF(ISBLANK(Instruments!B23),"",","&amp;""""&amp;Instruments!C$1&amp;""""&amp;":"&amp;""""&amp;Instruments!C23&amp;"""")</f>
        <v>,"subtype":"CBOIS"</v>
      </c>
      <c r="E22" s="0" t="e">
        <f aca="false">IF(ISBLANK(Instruments!C23),"",","&amp;""""&amp;Instruments!D$1&amp;""""&amp;":"&amp;""""&amp;TEXT(Instruments!D23,"yyyy-mm-dd")&amp;"""")</f>
        <v>#NAME?</v>
      </c>
      <c r="F22" s="0" t="e">
        <f aca="false">IF(ISBLANK(Instruments!D23),"",","&amp;""""&amp;Instruments!E$1&amp;""""&amp;":"&amp;""""&amp;TEXT(Instruments!E23,"yyyy-mm-dd")&amp;"""")</f>
        <v>#NAME?</v>
      </c>
      <c r="G22" s="0" t="e">
        <f aca="false">IF(ISBLANK(Instruments!E23),"",","&amp;""""&amp;Instruments!F$1&amp;""""&amp;":"&amp;""""&amp;Instruments!F23&amp;"""")</f>
        <v>#NAME?</v>
      </c>
      <c r="H22" s="0" t="e">
        <f aca="false">IF(ISBLANK(Instruments!F23),"",","&amp;""""&amp;Instruments!G$1&amp;""""&amp;":"&amp;""""&amp;Instruments!G23&amp;"""")</f>
        <v>#NAME?</v>
      </c>
      <c r="I22" s="0" t="str">
        <f aca="false">IF(ISBLANK(Instruments!G23),"",","&amp;""""&amp;Instruments!H$1&amp;""""&amp;":"&amp;""""&amp;Instruments!H23&amp;"""")</f>
        <v>,"params":""</v>
      </c>
      <c r="J22" s="0" t="str">
        <f aca="false">IF(ISBLANK(Instruments!I23),"",","&amp;""""&amp;Instruments!I$1&amp;""""&amp;":"&amp;""""&amp;Instruments!I23&amp;""""&amp;"}")</f>
        <v>,"tenor":"FED6"}</v>
      </c>
    </row>
    <row r="23" customFormat="false" ht="15" hidden="false" customHeight="false" outlineLevel="0" collapsed="false">
      <c r="A23" s="0" t="e">
        <f aca="false">_xlfn.CONCAT(B23:J23)</f>
        <v>#NAME?</v>
      </c>
      <c r="B23" s="0" t="str">
        <f aca="false">IF(ISBLANK(Instruments!A24),"","{"&amp;""""&amp;Instruments!A$1&amp;""""&amp;":"&amp;""""&amp;Instruments!A24&amp;"""")</f>
        <v>{"curve":"sofr"</v>
      </c>
      <c r="C23" s="0" t="str">
        <f aca="false">IF(ISBLANK(Instruments!A24),"",","&amp;""""&amp;Instruments!B$1&amp;""""&amp;":"&amp;""""&amp;Instruments!B24&amp;"""")</f>
        <v>,"type":"IRS"</v>
      </c>
      <c r="D23" s="0" t="str">
        <f aca="false">IF(ISBLANK(Instruments!B24),"",","&amp;""""&amp;Instruments!C$1&amp;""""&amp;":"&amp;""""&amp;Instruments!C24&amp;"""")</f>
        <v>,"subtype":"CBOIS"</v>
      </c>
      <c r="E23" s="0" t="e">
        <f aca="false">IF(ISBLANK(Instruments!C24),"",","&amp;""""&amp;Instruments!D$1&amp;""""&amp;":"&amp;""""&amp;TEXT(Instruments!D24,"yyyy-mm-dd")&amp;"""")</f>
        <v>#NAME?</v>
      </c>
      <c r="F23" s="0" t="e">
        <f aca="false">IF(ISBLANK(Instruments!D24),"",","&amp;""""&amp;Instruments!E$1&amp;""""&amp;":"&amp;""""&amp;TEXT(Instruments!E24,"yyyy-mm-dd")&amp;"""")</f>
        <v>#NAME?</v>
      </c>
      <c r="G23" s="0" t="e">
        <f aca="false">IF(ISBLANK(Instruments!E24),"",","&amp;""""&amp;Instruments!F$1&amp;""""&amp;":"&amp;""""&amp;Instruments!F24&amp;"""")</f>
        <v>#NAME?</v>
      </c>
      <c r="H23" s="0" t="e">
        <f aca="false">IF(ISBLANK(Instruments!F24),"",","&amp;""""&amp;Instruments!G$1&amp;""""&amp;":"&amp;""""&amp;Instruments!G24&amp;"""")</f>
        <v>#NAME?</v>
      </c>
      <c r="I23" s="0" t="str">
        <f aca="false">IF(ISBLANK(Instruments!G24),"",","&amp;""""&amp;Instruments!H$1&amp;""""&amp;":"&amp;""""&amp;Instruments!H24&amp;"""")</f>
        <v>,"params":""</v>
      </c>
      <c r="J23" s="0" t="str">
        <f aca="false">IF(ISBLANK(Instruments!I24),"",","&amp;""""&amp;Instruments!I$1&amp;""""&amp;":"&amp;""""&amp;Instruments!I24&amp;""""&amp;"}")</f>
        <v>,"tenor":"FED7"}</v>
      </c>
    </row>
    <row r="24" customFormat="false" ht="15" hidden="false" customHeight="false" outlineLevel="0" collapsed="false">
      <c r="A24" s="0" t="e">
        <f aca="false">_xlfn.CONCAT(B24:J24)</f>
        <v>#NAME?</v>
      </c>
      <c r="B24" s="0" t="str">
        <f aca="false">IF(ISBLANK(Instruments!A25),"","{"&amp;""""&amp;Instruments!A$1&amp;""""&amp;":"&amp;""""&amp;Instruments!A25&amp;"""")</f>
        <v>{"curve":"sofr"</v>
      </c>
      <c r="C24" s="0" t="str">
        <f aca="false">IF(ISBLANK(Instruments!A25),"",","&amp;""""&amp;Instruments!B$1&amp;""""&amp;":"&amp;""""&amp;Instruments!B25&amp;"""")</f>
        <v>,"type":"IRS"</v>
      </c>
      <c r="D24" s="0" t="str">
        <f aca="false">IF(ISBLANK(Instruments!B25),"",","&amp;""""&amp;Instruments!C$1&amp;""""&amp;":"&amp;""""&amp;Instruments!C25&amp;"""")</f>
        <v>,"subtype":"CBOIS"</v>
      </c>
      <c r="E24" s="0" t="e">
        <f aca="false">IF(ISBLANK(Instruments!C25),"",","&amp;""""&amp;Instruments!D$1&amp;""""&amp;":"&amp;""""&amp;TEXT(Instruments!D25,"yyyy-mm-dd")&amp;"""")</f>
        <v>#NAME?</v>
      </c>
      <c r="F24" s="0" t="e">
        <f aca="false">IF(ISBLANK(Instruments!D25),"",","&amp;""""&amp;Instruments!E$1&amp;""""&amp;":"&amp;""""&amp;TEXT(Instruments!E25,"yyyy-mm-dd")&amp;"""")</f>
        <v>#NAME?</v>
      </c>
      <c r="G24" s="0" t="e">
        <f aca="false">IF(ISBLANK(Instruments!E25),"",","&amp;""""&amp;Instruments!F$1&amp;""""&amp;":"&amp;""""&amp;Instruments!F25&amp;"""")</f>
        <v>#NAME?</v>
      </c>
      <c r="H24" s="0" t="e">
        <f aca="false">IF(ISBLANK(Instruments!F25),"",","&amp;""""&amp;Instruments!G$1&amp;""""&amp;":"&amp;""""&amp;Instruments!G25&amp;"""")</f>
        <v>#NAME?</v>
      </c>
      <c r="I24" s="0" t="str">
        <f aca="false">IF(ISBLANK(Instruments!G25),"",","&amp;""""&amp;Instruments!H$1&amp;""""&amp;":"&amp;""""&amp;Instruments!H25&amp;"""")</f>
        <v>,"params":""</v>
      </c>
      <c r="J24" s="0" t="str">
        <f aca="false">IF(ISBLANK(Instruments!I25),"",","&amp;""""&amp;Instruments!I$1&amp;""""&amp;":"&amp;""""&amp;Instruments!I25&amp;""""&amp;"}")</f>
        <v>,"tenor":"FED8"}</v>
      </c>
    </row>
    <row r="25" customFormat="false" ht="15" hidden="false" customHeight="false" outlineLevel="0" collapsed="false">
      <c r="A25" s="0" t="e">
        <f aca="false">_xlfn.CONCAT(B25:J25)</f>
        <v>#NAME?</v>
      </c>
      <c r="B25" s="0" t="str">
        <f aca="false">IF(ISBLANK(Instruments!A26),"","{"&amp;""""&amp;Instruments!A$1&amp;""""&amp;":"&amp;""""&amp;Instruments!A26&amp;"""")</f>
        <v>{"curve":"estr"</v>
      </c>
      <c r="C25" s="0" t="str">
        <f aca="false">IF(ISBLANK(Instruments!A26),"",","&amp;""""&amp;Instruments!B$1&amp;""""&amp;":"&amp;""""&amp;Instruments!B26&amp;"""")</f>
        <v>,"type":"IRS"</v>
      </c>
      <c r="D25" s="0" t="str">
        <f aca="false">IF(ISBLANK(Instruments!B26),"",","&amp;""""&amp;Instruments!C$1&amp;""""&amp;":"&amp;""""&amp;Instruments!C26&amp;"""")</f>
        <v>,"subtype":"OIS"</v>
      </c>
      <c r="E25" s="0" t="e">
        <f aca="false">IF(ISBLANK(Instruments!C26),"",","&amp;""""&amp;Instruments!D$1&amp;""""&amp;":"&amp;""""&amp;TEXT(Instruments!D26,"yyyy-mm-dd")&amp;"""")</f>
        <v>#NAME?</v>
      </c>
      <c r="F25" s="0" t="e">
        <f aca="false">IF(ISBLANK(Instruments!D26),"",","&amp;""""&amp;Instruments!E$1&amp;""""&amp;":"&amp;""""&amp;TEXT(Instruments!E26,"yyyy-mm-dd")&amp;"""")</f>
        <v>#NAME?</v>
      </c>
      <c r="G25" s="0" t="e">
        <f aca="false">IF(ISBLANK(Instruments!E26),"",","&amp;""""&amp;Instruments!F$1&amp;""""&amp;":"&amp;""""&amp;Instruments!F26&amp;"""")</f>
        <v>#NAME?</v>
      </c>
      <c r="H25" s="0" t="e">
        <f aca="false">IF(ISBLANK(Instruments!F26),"",","&amp;""""&amp;Instruments!G$1&amp;""""&amp;":"&amp;""""&amp;Instruments!G26&amp;"""")</f>
        <v>#NAME?</v>
      </c>
      <c r="I25" s="0" t="str">
        <f aca="false">IF(ISBLANK(Instruments!G26),"",","&amp;""""&amp;Instruments!H$1&amp;""""&amp;":"&amp;""""&amp;Instruments!H26&amp;"""")</f>
        <v>,"params":""</v>
      </c>
      <c r="J25" s="0" t="str">
        <f aca="false">IF(ISBLANK(Instruments!I26),"",","&amp;""""&amp;Instruments!I$1&amp;""""&amp;":"&amp;""""&amp;Instruments!I26&amp;""""&amp;"}")</f>
        <v>,"tenor":"1M"}</v>
      </c>
    </row>
    <row r="26" customFormat="false" ht="15" hidden="false" customHeight="false" outlineLevel="0" collapsed="false">
      <c r="A26" s="0" t="e">
        <f aca="false">_xlfn.CONCAT(B26:J26)</f>
        <v>#NAME?</v>
      </c>
      <c r="B26" s="0" t="str">
        <f aca="false">IF(ISBLANK(Instruments!A27),"","{"&amp;""""&amp;Instruments!A$1&amp;""""&amp;":"&amp;""""&amp;Instruments!A27&amp;"""")</f>
        <v>{"curve":"estr"</v>
      </c>
      <c r="C26" s="0" t="str">
        <f aca="false">IF(ISBLANK(Instruments!A27),"",","&amp;""""&amp;Instruments!B$1&amp;""""&amp;":"&amp;""""&amp;Instruments!B27&amp;"""")</f>
        <v>,"type":"IRS"</v>
      </c>
      <c r="D26" s="0" t="str">
        <f aca="false">IF(ISBLANK(Instruments!B27),"",","&amp;""""&amp;Instruments!C$1&amp;""""&amp;":"&amp;""""&amp;Instruments!C27&amp;"""")</f>
        <v>,"subtype":"OIS"</v>
      </c>
      <c r="E26" s="0" t="e">
        <f aca="false">IF(ISBLANK(Instruments!C27),"",","&amp;""""&amp;Instruments!D$1&amp;""""&amp;":"&amp;""""&amp;TEXT(Instruments!D27,"yyyy-mm-dd")&amp;"""")</f>
        <v>#NAME?</v>
      </c>
      <c r="F26" s="0" t="e">
        <f aca="false">IF(ISBLANK(Instruments!D27),"",","&amp;""""&amp;Instruments!E$1&amp;""""&amp;":"&amp;""""&amp;TEXT(Instruments!E27,"yyyy-mm-dd")&amp;"""")</f>
        <v>#NAME?</v>
      </c>
      <c r="G26" s="0" t="e">
        <f aca="false">IF(ISBLANK(Instruments!E27),"",","&amp;""""&amp;Instruments!F$1&amp;""""&amp;":"&amp;""""&amp;Instruments!F27&amp;"""")</f>
        <v>#NAME?</v>
      </c>
      <c r="H26" s="0" t="e">
        <f aca="false">IF(ISBLANK(Instruments!F27),"",","&amp;""""&amp;Instruments!G$1&amp;""""&amp;":"&amp;""""&amp;Instruments!G27&amp;"""")</f>
        <v>#NAME?</v>
      </c>
      <c r="I26" s="0" t="str">
        <f aca="false">IF(ISBLANK(Instruments!G27),"",","&amp;""""&amp;Instruments!H$1&amp;""""&amp;":"&amp;""""&amp;Instruments!H27&amp;"""")</f>
        <v>,"params":""</v>
      </c>
      <c r="J26" s="0" t="str">
        <f aca="false">IF(ISBLANK(Instruments!I27),"",","&amp;""""&amp;Instruments!I$1&amp;""""&amp;":"&amp;""""&amp;Instruments!I27&amp;""""&amp;"}")</f>
        <v>,"tenor":"2M"}</v>
      </c>
    </row>
    <row r="27" customFormat="false" ht="15" hidden="false" customHeight="false" outlineLevel="0" collapsed="false">
      <c r="A27" s="0" t="e">
        <f aca="false">_xlfn.CONCAT(B27:J27)</f>
        <v>#NAME?</v>
      </c>
      <c r="B27" s="0" t="str">
        <f aca="false">IF(ISBLANK(Instruments!A28),"","{"&amp;""""&amp;Instruments!A$1&amp;""""&amp;":"&amp;""""&amp;Instruments!A28&amp;"""")</f>
        <v>{"curve":"estr"</v>
      </c>
      <c r="C27" s="0" t="str">
        <f aca="false">IF(ISBLANK(Instruments!A28),"",","&amp;""""&amp;Instruments!B$1&amp;""""&amp;":"&amp;""""&amp;Instruments!B28&amp;"""")</f>
        <v>,"type":"IRS"</v>
      </c>
      <c r="D27" s="0" t="str">
        <f aca="false">IF(ISBLANK(Instruments!B28),"",","&amp;""""&amp;Instruments!C$1&amp;""""&amp;":"&amp;""""&amp;Instruments!C28&amp;"""")</f>
        <v>,"subtype":"OIS"</v>
      </c>
      <c r="E27" s="0" t="e">
        <f aca="false">IF(ISBLANK(Instruments!C28),"",","&amp;""""&amp;Instruments!D$1&amp;""""&amp;":"&amp;""""&amp;TEXT(Instruments!D28,"yyyy-mm-dd")&amp;"""")</f>
        <v>#NAME?</v>
      </c>
      <c r="F27" s="0" t="e">
        <f aca="false">IF(ISBLANK(Instruments!D28),"",","&amp;""""&amp;Instruments!E$1&amp;""""&amp;":"&amp;""""&amp;TEXT(Instruments!E28,"yyyy-mm-dd")&amp;"""")</f>
        <v>#NAME?</v>
      </c>
      <c r="G27" s="0" t="e">
        <f aca="false">IF(ISBLANK(Instruments!E28),"",","&amp;""""&amp;Instruments!F$1&amp;""""&amp;":"&amp;""""&amp;Instruments!F28&amp;"""")</f>
        <v>#NAME?</v>
      </c>
      <c r="H27" s="0" t="e">
        <f aca="false">IF(ISBLANK(Instruments!F28),"",","&amp;""""&amp;Instruments!G$1&amp;""""&amp;":"&amp;""""&amp;Instruments!G28&amp;"""")</f>
        <v>#NAME?</v>
      </c>
      <c r="I27" s="0" t="str">
        <f aca="false">IF(ISBLANK(Instruments!G28),"",","&amp;""""&amp;Instruments!H$1&amp;""""&amp;":"&amp;""""&amp;Instruments!H28&amp;"""")</f>
        <v>,"params":""</v>
      </c>
      <c r="J27" s="0" t="str">
        <f aca="false">IF(ISBLANK(Instruments!I28),"",","&amp;""""&amp;Instruments!I$1&amp;""""&amp;":"&amp;""""&amp;Instruments!I28&amp;""""&amp;"}")</f>
        <v>,"tenor":"3M"}</v>
      </c>
    </row>
    <row r="28" customFormat="false" ht="15" hidden="false" customHeight="false" outlineLevel="0" collapsed="false">
      <c r="A28" s="0" t="e">
        <f aca="false">_xlfn.CONCAT(B28:J28)</f>
        <v>#NAME?</v>
      </c>
      <c r="B28" s="0" t="str">
        <f aca="false">IF(ISBLANK(Instruments!A29),"","{"&amp;""""&amp;Instruments!A$1&amp;""""&amp;":"&amp;""""&amp;Instruments!A29&amp;"""")</f>
        <v>{"curve":"estr"</v>
      </c>
      <c r="C28" s="0" t="str">
        <f aca="false">IF(ISBLANK(Instruments!A29),"",","&amp;""""&amp;Instruments!B$1&amp;""""&amp;":"&amp;""""&amp;Instruments!B29&amp;"""")</f>
        <v>,"type":"IRS"</v>
      </c>
      <c r="D28" s="0" t="str">
        <f aca="false">IF(ISBLANK(Instruments!B29),"",","&amp;""""&amp;Instruments!C$1&amp;""""&amp;":"&amp;""""&amp;Instruments!C29&amp;"""")</f>
        <v>,"subtype":"OIS"</v>
      </c>
      <c r="E28" s="0" t="e">
        <f aca="false">IF(ISBLANK(Instruments!C29),"",","&amp;""""&amp;Instruments!D$1&amp;""""&amp;":"&amp;""""&amp;TEXT(Instruments!D29,"yyyy-mm-dd")&amp;"""")</f>
        <v>#NAME?</v>
      </c>
      <c r="F28" s="0" t="e">
        <f aca="false">IF(ISBLANK(Instruments!D29),"",","&amp;""""&amp;Instruments!E$1&amp;""""&amp;":"&amp;""""&amp;TEXT(Instruments!E29,"yyyy-mm-dd")&amp;"""")</f>
        <v>#NAME?</v>
      </c>
      <c r="G28" s="0" t="e">
        <f aca="false">IF(ISBLANK(Instruments!E29),"",","&amp;""""&amp;Instruments!F$1&amp;""""&amp;":"&amp;""""&amp;Instruments!F29&amp;"""")</f>
        <v>#NAME?</v>
      </c>
      <c r="H28" s="0" t="e">
        <f aca="false">IF(ISBLANK(Instruments!F29),"",","&amp;""""&amp;Instruments!G$1&amp;""""&amp;":"&amp;""""&amp;Instruments!G29&amp;"""")</f>
        <v>#NAME?</v>
      </c>
      <c r="I28" s="0" t="str">
        <f aca="false">IF(ISBLANK(Instruments!G29),"",","&amp;""""&amp;Instruments!H$1&amp;""""&amp;":"&amp;""""&amp;Instruments!H29&amp;"""")</f>
        <v>,"params":""</v>
      </c>
      <c r="J28" s="0" t="str">
        <f aca="false">IF(ISBLANK(Instruments!I29),"",","&amp;""""&amp;Instruments!I$1&amp;""""&amp;":"&amp;""""&amp;Instruments!I29&amp;""""&amp;"}")</f>
        <v>,"tenor":"4M"}</v>
      </c>
    </row>
    <row r="29" customFormat="false" ht="15" hidden="false" customHeight="false" outlineLevel="0" collapsed="false">
      <c r="A29" s="0" t="e">
        <f aca="false">_xlfn.CONCAT(B29:J29)</f>
        <v>#NAME?</v>
      </c>
      <c r="B29" s="0" t="str">
        <f aca="false">IF(ISBLANK(Instruments!A30),"","{"&amp;""""&amp;Instruments!A$1&amp;""""&amp;":"&amp;""""&amp;Instruments!A30&amp;"""")</f>
        <v>{"curve":"estr"</v>
      </c>
      <c r="C29" s="0" t="str">
        <f aca="false">IF(ISBLANK(Instruments!A30),"",","&amp;""""&amp;Instruments!B$1&amp;""""&amp;":"&amp;""""&amp;Instruments!B30&amp;"""")</f>
        <v>,"type":"IRS"</v>
      </c>
      <c r="D29" s="0" t="str">
        <f aca="false">IF(ISBLANK(Instruments!B30),"",","&amp;""""&amp;Instruments!C$1&amp;""""&amp;":"&amp;""""&amp;Instruments!C30&amp;"""")</f>
        <v>,"subtype":"OIS"</v>
      </c>
      <c r="E29" s="0" t="e">
        <f aca="false">IF(ISBLANK(Instruments!C30),"",","&amp;""""&amp;Instruments!D$1&amp;""""&amp;":"&amp;""""&amp;TEXT(Instruments!D30,"yyyy-mm-dd")&amp;"""")</f>
        <v>#NAME?</v>
      </c>
      <c r="F29" s="0" t="e">
        <f aca="false">IF(ISBLANK(Instruments!D30),"",","&amp;""""&amp;Instruments!E$1&amp;""""&amp;":"&amp;""""&amp;TEXT(Instruments!E30,"yyyy-mm-dd")&amp;"""")</f>
        <v>#NAME?</v>
      </c>
      <c r="G29" s="0" t="e">
        <f aca="false">IF(ISBLANK(Instruments!E30),"",","&amp;""""&amp;Instruments!F$1&amp;""""&amp;":"&amp;""""&amp;Instruments!F30&amp;"""")</f>
        <v>#NAME?</v>
      </c>
      <c r="H29" s="0" t="e">
        <f aca="false">IF(ISBLANK(Instruments!F30),"",","&amp;""""&amp;Instruments!G$1&amp;""""&amp;":"&amp;""""&amp;Instruments!G30&amp;"""")</f>
        <v>#NAME?</v>
      </c>
      <c r="I29" s="0" t="str">
        <f aca="false">IF(ISBLANK(Instruments!G30),"",","&amp;""""&amp;Instruments!H$1&amp;""""&amp;":"&amp;""""&amp;Instruments!H30&amp;"""")</f>
        <v>,"params":""</v>
      </c>
      <c r="J29" s="0" t="str">
        <f aca="false">IF(ISBLANK(Instruments!I30),"",","&amp;""""&amp;Instruments!I$1&amp;""""&amp;":"&amp;""""&amp;Instruments!I30&amp;""""&amp;"}")</f>
        <v>,"tenor":"5M"}</v>
      </c>
    </row>
    <row r="30" customFormat="false" ht="15" hidden="false" customHeight="false" outlineLevel="0" collapsed="false">
      <c r="A30" s="0" t="e">
        <f aca="false">_xlfn.CONCAT(B30:J30)</f>
        <v>#NAME?</v>
      </c>
      <c r="B30" s="0" t="str">
        <f aca="false">IF(ISBLANK(Instruments!A31),"","{"&amp;""""&amp;Instruments!A$1&amp;""""&amp;":"&amp;""""&amp;Instruments!A31&amp;"""")</f>
        <v>{"curve":"estr"</v>
      </c>
      <c r="C30" s="0" t="str">
        <f aca="false">IF(ISBLANK(Instruments!A31),"",","&amp;""""&amp;Instruments!B$1&amp;""""&amp;":"&amp;""""&amp;Instruments!B31&amp;"""")</f>
        <v>,"type":"IRS"</v>
      </c>
      <c r="D30" s="0" t="str">
        <f aca="false">IF(ISBLANK(Instruments!B31),"",","&amp;""""&amp;Instruments!C$1&amp;""""&amp;":"&amp;""""&amp;Instruments!C31&amp;"""")</f>
        <v>,"subtype":"OIS"</v>
      </c>
      <c r="E30" s="0" t="e">
        <f aca="false">IF(ISBLANK(Instruments!C31),"",","&amp;""""&amp;Instruments!D$1&amp;""""&amp;":"&amp;""""&amp;TEXT(Instruments!D31,"yyyy-mm-dd")&amp;"""")</f>
        <v>#NAME?</v>
      </c>
      <c r="F30" s="0" t="e">
        <f aca="false">IF(ISBLANK(Instruments!D31),"",","&amp;""""&amp;Instruments!E$1&amp;""""&amp;":"&amp;""""&amp;TEXT(Instruments!E31,"yyyy-mm-dd")&amp;"""")</f>
        <v>#NAME?</v>
      </c>
      <c r="G30" s="0" t="e">
        <f aca="false">IF(ISBLANK(Instruments!E31),"",","&amp;""""&amp;Instruments!F$1&amp;""""&amp;":"&amp;""""&amp;Instruments!F31&amp;"""")</f>
        <v>#NAME?</v>
      </c>
      <c r="H30" s="0" t="e">
        <f aca="false">IF(ISBLANK(Instruments!F31),"",","&amp;""""&amp;Instruments!G$1&amp;""""&amp;":"&amp;""""&amp;Instruments!G31&amp;"""")</f>
        <v>#NAME?</v>
      </c>
      <c r="I30" s="0" t="str">
        <f aca="false">IF(ISBLANK(Instruments!G31),"",","&amp;""""&amp;Instruments!H$1&amp;""""&amp;":"&amp;""""&amp;Instruments!H31&amp;"""")</f>
        <v>,"params":""</v>
      </c>
      <c r="J30" s="0" t="str">
        <f aca="false">IF(ISBLANK(Instruments!I31),"",","&amp;""""&amp;Instruments!I$1&amp;""""&amp;":"&amp;""""&amp;Instruments!I31&amp;""""&amp;"}")</f>
        <v>,"tenor":"6M"}</v>
      </c>
    </row>
    <row r="31" customFormat="false" ht="15" hidden="false" customHeight="false" outlineLevel="0" collapsed="false">
      <c r="A31" s="0" t="e">
        <f aca="false">_xlfn.CONCAT(B31:J31)</f>
        <v>#NAME?</v>
      </c>
      <c r="B31" s="0" t="str">
        <f aca="false">IF(ISBLANK(Instruments!A32),"","{"&amp;""""&amp;Instruments!A$1&amp;""""&amp;":"&amp;""""&amp;Instruments!A32&amp;"""")</f>
        <v>{"curve":"estr"</v>
      </c>
      <c r="C31" s="0" t="str">
        <f aca="false">IF(ISBLANK(Instruments!A32),"",","&amp;""""&amp;Instruments!B$1&amp;""""&amp;":"&amp;""""&amp;Instruments!B32&amp;"""")</f>
        <v>,"type":"IRS"</v>
      </c>
      <c r="D31" s="0" t="str">
        <f aca="false">IF(ISBLANK(Instruments!B32),"",","&amp;""""&amp;Instruments!C$1&amp;""""&amp;":"&amp;""""&amp;Instruments!C32&amp;"""")</f>
        <v>,"subtype":"OIS"</v>
      </c>
      <c r="E31" s="0" t="e">
        <f aca="false">IF(ISBLANK(Instruments!C32),"",","&amp;""""&amp;Instruments!D$1&amp;""""&amp;":"&amp;""""&amp;TEXT(Instruments!D32,"yyyy-mm-dd")&amp;"""")</f>
        <v>#NAME?</v>
      </c>
      <c r="F31" s="0" t="e">
        <f aca="false">IF(ISBLANK(Instruments!D32),"",","&amp;""""&amp;Instruments!E$1&amp;""""&amp;":"&amp;""""&amp;TEXT(Instruments!E32,"yyyy-mm-dd")&amp;"""")</f>
        <v>#NAME?</v>
      </c>
      <c r="G31" s="0" t="e">
        <f aca="false">IF(ISBLANK(Instruments!E32),"",","&amp;""""&amp;Instruments!F$1&amp;""""&amp;":"&amp;""""&amp;Instruments!F32&amp;"""")</f>
        <v>#NAME?</v>
      </c>
      <c r="H31" s="0" t="e">
        <f aca="false">IF(ISBLANK(Instruments!F32),"",","&amp;""""&amp;Instruments!G$1&amp;""""&amp;":"&amp;""""&amp;Instruments!G32&amp;"""")</f>
        <v>#NAME?</v>
      </c>
      <c r="I31" s="0" t="str">
        <f aca="false">IF(ISBLANK(Instruments!G32),"",","&amp;""""&amp;Instruments!H$1&amp;""""&amp;":"&amp;""""&amp;Instruments!H32&amp;"""")</f>
        <v>,"params":""</v>
      </c>
      <c r="J31" s="0" t="str">
        <f aca="false">IF(ISBLANK(Instruments!I32),"",","&amp;""""&amp;Instruments!I$1&amp;""""&amp;":"&amp;""""&amp;Instruments!I32&amp;""""&amp;"}")</f>
        <v>,"tenor":"7M"}</v>
      </c>
    </row>
    <row r="32" customFormat="false" ht="15" hidden="false" customHeight="false" outlineLevel="0" collapsed="false">
      <c r="A32" s="0" t="e">
        <f aca="false">_xlfn.CONCAT(B32:J32)</f>
        <v>#NAME?</v>
      </c>
      <c r="B32" s="0" t="str">
        <f aca="false">IF(ISBLANK(Instruments!A33),"","{"&amp;""""&amp;Instruments!A$1&amp;""""&amp;":"&amp;""""&amp;Instruments!A33&amp;"""")</f>
        <v>{"curve":"estr"</v>
      </c>
      <c r="C32" s="0" t="str">
        <f aca="false">IF(ISBLANK(Instruments!A33),"",","&amp;""""&amp;Instruments!B$1&amp;""""&amp;":"&amp;""""&amp;Instruments!B33&amp;"""")</f>
        <v>,"type":"IRS"</v>
      </c>
      <c r="D32" s="0" t="str">
        <f aca="false">IF(ISBLANK(Instruments!B33),"",","&amp;""""&amp;Instruments!C$1&amp;""""&amp;":"&amp;""""&amp;Instruments!C33&amp;"""")</f>
        <v>,"subtype":"OIS"</v>
      </c>
      <c r="E32" s="0" t="e">
        <f aca="false">IF(ISBLANK(Instruments!C33),"",","&amp;""""&amp;Instruments!D$1&amp;""""&amp;":"&amp;""""&amp;TEXT(Instruments!D33,"yyyy-mm-dd")&amp;"""")</f>
        <v>#NAME?</v>
      </c>
      <c r="F32" s="0" t="e">
        <f aca="false">IF(ISBLANK(Instruments!D33),"",","&amp;""""&amp;Instruments!E$1&amp;""""&amp;":"&amp;""""&amp;TEXT(Instruments!E33,"yyyy-mm-dd")&amp;"""")</f>
        <v>#NAME?</v>
      </c>
      <c r="G32" s="0" t="e">
        <f aca="false">IF(ISBLANK(Instruments!E33),"",","&amp;""""&amp;Instruments!F$1&amp;""""&amp;":"&amp;""""&amp;Instruments!F33&amp;"""")</f>
        <v>#NAME?</v>
      </c>
      <c r="H32" s="0" t="e">
        <f aca="false">IF(ISBLANK(Instruments!F33),"",","&amp;""""&amp;Instruments!G$1&amp;""""&amp;":"&amp;""""&amp;Instruments!G33&amp;"""")</f>
        <v>#NAME?</v>
      </c>
      <c r="I32" s="0" t="str">
        <f aca="false">IF(ISBLANK(Instruments!G33),"",","&amp;""""&amp;Instruments!H$1&amp;""""&amp;":"&amp;""""&amp;Instruments!H33&amp;"""")</f>
        <v>,"params":""</v>
      </c>
      <c r="J32" s="0" t="str">
        <f aca="false">IF(ISBLANK(Instruments!I33),"",","&amp;""""&amp;Instruments!I$1&amp;""""&amp;":"&amp;""""&amp;Instruments!I33&amp;""""&amp;"}")</f>
        <v>,"tenor":"8M"}</v>
      </c>
    </row>
    <row r="33" customFormat="false" ht="15" hidden="false" customHeight="false" outlineLevel="0" collapsed="false">
      <c r="A33" s="0" t="e">
        <f aca="false">_xlfn.CONCAT(B33:J33)</f>
        <v>#NAME?</v>
      </c>
      <c r="B33" s="0" t="str">
        <f aca="false">IF(ISBLANK(Instruments!A34),"","{"&amp;""""&amp;Instruments!A$1&amp;""""&amp;":"&amp;""""&amp;Instruments!A34&amp;"""")</f>
        <v>{"curve":"estr"</v>
      </c>
      <c r="C33" s="0" t="str">
        <f aca="false">IF(ISBLANK(Instruments!A34),"",","&amp;""""&amp;Instruments!B$1&amp;""""&amp;":"&amp;""""&amp;Instruments!B34&amp;"""")</f>
        <v>,"type":"IRS"</v>
      </c>
      <c r="D33" s="0" t="str">
        <f aca="false">IF(ISBLANK(Instruments!B34),"",","&amp;""""&amp;Instruments!C$1&amp;""""&amp;":"&amp;""""&amp;Instruments!C34&amp;"""")</f>
        <v>,"subtype":"OIS"</v>
      </c>
      <c r="E33" s="0" t="e">
        <f aca="false">IF(ISBLANK(Instruments!C34),"",","&amp;""""&amp;Instruments!D$1&amp;""""&amp;":"&amp;""""&amp;TEXT(Instruments!D34,"yyyy-mm-dd")&amp;"""")</f>
        <v>#NAME?</v>
      </c>
      <c r="F33" s="0" t="e">
        <f aca="false">IF(ISBLANK(Instruments!D34),"",","&amp;""""&amp;Instruments!E$1&amp;""""&amp;":"&amp;""""&amp;TEXT(Instruments!E34,"yyyy-mm-dd")&amp;"""")</f>
        <v>#NAME?</v>
      </c>
      <c r="G33" s="0" t="e">
        <f aca="false">IF(ISBLANK(Instruments!E34),"",","&amp;""""&amp;Instruments!F$1&amp;""""&amp;":"&amp;""""&amp;Instruments!F34&amp;"""")</f>
        <v>#NAME?</v>
      </c>
      <c r="H33" s="0" t="e">
        <f aca="false">IF(ISBLANK(Instruments!F34),"",","&amp;""""&amp;Instruments!G$1&amp;""""&amp;":"&amp;""""&amp;Instruments!G34&amp;"""")</f>
        <v>#NAME?</v>
      </c>
      <c r="I33" s="0" t="str">
        <f aca="false">IF(ISBLANK(Instruments!G34),"",","&amp;""""&amp;Instruments!H$1&amp;""""&amp;":"&amp;""""&amp;Instruments!H34&amp;"""")</f>
        <v>,"params":""</v>
      </c>
      <c r="J33" s="0" t="str">
        <f aca="false">IF(ISBLANK(Instruments!I34),"",","&amp;""""&amp;Instruments!I$1&amp;""""&amp;":"&amp;""""&amp;Instruments!I34&amp;""""&amp;"}")</f>
        <v>,"tenor":"9M"}</v>
      </c>
    </row>
    <row r="34" customFormat="false" ht="15" hidden="false" customHeight="false" outlineLevel="0" collapsed="false">
      <c r="A34" s="0" t="e">
        <f aca="false">_xlfn.CONCAT(B34:J34)</f>
        <v>#NAME?</v>
      </c>
      <c r="B34" s="0" t="str">
        <f aca="false">IF(ISBLANK(Instruments!A35),"","{"&amp;""""&amp;Instruments!A$1&amp;""""&amp;":"&amp;""""&amp;Instruments!A35&amp;"""")</f>
        <v>{"curve":"estr"</v>
      </c>
      <c r="C34" s="0" t="str">
        <f aca="false">IF(ISBLANK(Instruments!A35),"",","&amp;""""&amp;Instruments!B$1&amp;""""&amp;":"&amp;""""&amp;Instruments!B35&amp;"""")</f>
        <v>,"type":"IRS"</v>
      </c>
      <c r="D34" s="0" t="str">
        <f aca="false">IF(ISBLANK(Instruments!B35),"",","&amp;""""&amp;Instruments!C$1&amp;""""&amp;":"&amp;""""&amp;Instruments!C35&amp;"""")</f>
        <v>,"subtype":"OIS"</v>
      </c>
      <c r="E34" s="0" t="e">
        <f aca="false">IF(ISBLANK(Instruments!C35),"",","&amp;""""&amp;Instruments!D$1&amp;""""&amp;":"&amp;""""&amp;TEXT(Instruments!D35,"yyyy-mm-dd")&amp;"""")</f>
        <v>#NAME?</v>
      </c>
      <c r="F34" s="0" t="e">
        <f aca="false">IF(ISBLANK(Instruments!D35),"",","&amp;""""&amp;Instruments!E$1&amp;""""&amp;":"&amp;""""&amp;TEXT(Instruments!E35,"yyyy-mm-dd")&amp;"""")</f>
        <v>#NAME?</v>
      </c>
      <c r="G34" s="0" t="e">
        <f aca="false">IF(ISBLANK(Instruments!E35),"",","&amp;""""&amp;Instruments!F$1&amp;""""&amp;":"&amp;""""&amp;Instruments!F35&amp;"""")</f>
        <v>#NAME?</v>
      </c>
      <c r="H34" s="0" t="e">
        <f aca="false">IF(ISBLANK(Instruments!F35),"",","&amp;""""&amp;Instruments!G$1&amp;""""&amp;":"&amp;""""&amp;Instruments!G35&amp;"""")</f>
        <v>#NAME?</v>
      </c>
      <c r="I34" s="0" t="str">
        <f aca="false">IF(ISBLANK(Instruments!G35),"",","&amp;""""&amp;Instruments!H$1&amp;""""&amp;":"&amp;""""&amp;Instruments!H35&amp;"""")</f>
        <v>,"params":""</v>
      </c>
      <c r="J34" s="0" t="str">
        <f aca="false">IF(ISBLANK(Instruments!I35),"",","&amp;""""&amp;Instruments!I$1&amp;""""&amp;":"&amp;""""&amp;Instruments!I35&amp;""""&amp;"}")</f>
        <v>,"tenor":"10M"}</v>
      </c>
    </row>
    <row r="35" customFormat="false" ht="15" hidden="false" customHeight="false" outlineLevel="0" collapsed="false">
      <c r="A35" s="0" t="e">
        <f aca="false">_xlfn.CONCAT(B35:J35)</f>
        <v>#NAME?</v>
      </c>
      <c r="B35" s="0" t="str">
        <f aca="false">IF(ISBLANK(Instruments!A36),"","{"&amp;""""&amp;Instruments!A$1&amp;""""&amp;":"&amp;""""&amp;Instruments!A36&amp;"""")</f>
        <v>{"curve":"estr"</v>
      </c>
      <c r="C35" s="0" t="str">
        <f aca="false">IF(ISBLANK(Instruments!A36),"",","&amp;""""&amp;Instruments!B$1&amp;""""&amp;":"&amp;""""&amp;Instruments!B36&amp;"""")</f>
        <v>,"type":"IRS"</v>
      </c>
      <c r="D35" s="0" t="str">
        <f aca="false">IF(ISBLANK(Instruments!B36),"",","&amp;""""&amp;Instruments!C$1&amp;""""&amp;":"&amp;""""&amp;Instruments!C36&amp;"""")</f>
        <v>,"subtype":"OIS"</v>
      </c>
      <c r="E35" s="0" t="e">
        <f aca="false">IF(ISBLANK(Instruments!C36),"",","&amp;""""&amp;Instruments!D$1&amp;""""&amp;":"&amp;""""&amp;TEXT(Instruments!D36,"yyyy-mm-dd")&amp;"""")</f>
        <v>#NAME?</v>
      </c>
      <c r="F35" s="0" t="e">
        <f aca="false">IF(ISBLANK(Instruments!D36),"",","&amp;""""&amp;Instruments!E$1&amp;""""&amp;":"&amp;""""&amp;TEXT(Instruments!E36,"yyyy-mm-dd")&amp;"""")</f>
        <v>#NAME?</v>
      </c>
      <c r="G35" s="0" t="e">
        <f aca="false">IF(ISBLANK(Instruments!E36),"",","&amp;""""&amp;Instruments!F$1&amp;""""&amp;":"&amp;""""&amp;Instruments!F36&amp;"""")</f>
        <v>#NAME?</v>
      </c>
      <c r="H35" s="0" t="e">
        <f aca="false">IF(ISBLANK(Instruments!F36),"",","&amp;""""&amp;Instruments!G$1&amp;""""&amp;":"&amp;""""&amp;Instruments!G36&amp;"""")</f>
        <v>#NAME?</v>
      </c>
      <c r="I35" s="0" t="str">
        <f aca="false">IF(ISBLANK(Instruments!G36),"",","&amp;""""&amp;Instruments!H$1&amp;""""&amp;":"&amp;""""&amp;Instruments!H36&amp;"""")</f>
        <v>,"params":""</v>
      </c>
      <c r="J35" s="0" t="str">
        <f aca="false">IF(ISBLANK(Instruments!I36),"",","&amp;""""&amp;Instruments!I$1&amp;""""&amp;":"&amp;""""&amp;Instruments!I36&amp;""""&amp;"}")</f>
        <v>,"tenor":"11M"}</v>
      </c>
    </row>
    <row r="36" customFormat="false" ht="15" hidden="false" customHeight="false" outlineLevel="0" collapsed="false">
      <c r="A36" s="0" t="e">
        <f aca="false">_xlfn.CONCAT(B36:J36)</f>
        <v>#NAME?</v>
      </c>
      <c r="B36" s="0" t="str">
        <f aca="false">IF(ISBLANK(Instruments!A37),"","{"&amp;""""&amp;Instruments!A$1&amp;""""&amp;":"&amp;""""&amp;Instruments!A37&amp;"""")</f>
        <v>{"curve":"estr"</v>
      </c>
      <c r="C36" s="0" t="str">
        <f aca="false">IF(ISBLANK(Instruments!A37),"",","&amp;""""&amp;Instruments!B$1&amp;""""&amp;":"&amp;""""&amp;Instruments!B37&amp;"""")</f>
        <v>,"type":"IRS"</v>
      </c>
      <c r="D36" s="0" t="str">
        <f aca="false">IF(ISBLANK(Instruments!B37),"",","&amp;""""&amp;Instruments!C$1&amp;""""&amp;":"&amp;""""&amp;Instruments!C37&amp;"""")</f>
        <v>,"subtype":"OIS"</v>
      </c>
      <c r="E36" s="0" t="e">
        <f aca="false">IF(ISBLANK(Instruments!C37),"",","&amp;""""&amp;Instruments!D$1&amp;""""&amp;":"&amp;""""&amp;TEXT(Instruments!D37,"yyyy-mm-dd")&amp;"""")</f>
        <v>#NAME?</v>
      </c>
      <c r="F36" s="0" t="e">
        <f aca="false">IF(ISBLANK(Instruments!D37),"",","&amp;""""&amp;Instruments!E$1&amp;""""&amp;":"&amp;""""&amp;TEXT(Instruments!E37,"yyyy-mm-dd")&amp;"""")</f>
        <v>#NAME?</v>
      </c>
      <c r="G36" s="0" t="e">
        <f aca="false">IF(ISBLANK(Instruments!E37),"",","&amp;""""&amp;Instruments!F$1&amp;""""&amp;":"&amp;""""&amp;Instruments!F37&amp;"""")</f>
        <v>#NAME?</v>
      </c>
      <c r="H36" s="0" t="e">
        <f aca="false">IF(ISBLANK(Instruments!F37),"",","&amp;""""&amp;Instruments!G$1&amp;""""&amp;":"&amp;""""&amp;Instruments!G37&amp;"""")</f>
        <v>#NAME?</v>
      </c>
      <c r="I36" s="0" t="str">
        <f aca="false">IF(ISBLANK(Instruments!G37),"",","&amp;""""&amp;Instruments!H$1&amp;""""&amp;":"&amp;""""&amp;Instruments!H37&amp;"""")</f>
        <v>,"params":""</v>
      </c>
      <c r="J36" s="0" t="str">
        <f aca="false">IF(ISBLANK(Instruments!I37),"",","&amp;""""&amp;Instruments!I$1&amp;""""&amp;":"&amp;""""&amp;Instruments!I37&amp;""""&amp;"}")</f>
        <v>,"tenor":"1Y"}</v>
      </c>
    </row>
    <row r="37" customFormat="false" ht="15" hidden="false" customHeight="false" outlineLevel="0" collapsed="false">
      <c r="A37" s="0" t="e">
        <f aca="false">_xlfn.CONCAT(B37:J37)</f>
        <v>#NAME?</v>
      </c>
      <c r="B37" s="0" t="str">
        <f aca="false">IF(ISBLANK(Instruments!A38),"","{"&amp;""""&amp;Instruments!A$1&amp;""""&amp;":"&amp;""""&amp;Instruments!A38&amp;"""")</f>
        <v>{"curve":"estr"</v>
      </c>
      <c r="C37" s="0" t="str">
        <f aca="false">IF(ISBLANK(Instruments!A38),"",","&amp;""""&amp;Instruments!B$1&amp;""""&amp;":"&amp;""""&amp;Instruments!B38&amp;"""")</f>
        <v>,"type":"IRS"</v>
      </c>
      <c r="D37" s="0" t="str">
        <f aca="false">IF(ISBLANK(Instruments!B38),"",","&amp;""""&amp;Instruments!C$1&amp;""""&amp;":"&amp;""""&amp;Instruments!C38&amp;"""")</f>
        <v>,"subtype":"OIS"</v>
      </c>
      <c r="E37" s="0" t="e">
        <f aca="false">IF(ISBLANK(Instruments!C38),"",","&amp;""""&amp;Instruments!D$1&amp;""""&amp;":"&amp;""""&amp;TEXT(Instruments!D38,"yyyy-mm-dd")&amp;"""")</f>
        <v>#NAME?</v>
      </c>
      <c r="F37" s="0" t="e">
        <f aca="false">IF(ISBLANK(Instruments!D38),"",","&amp;""""&amp;Instruments!E$1&amp;""""&amp;":"&amp;""""&amp;TEXT(Instruments!E38,"yyyy-mm-dd")&amp;"""")</f>
        <v>#NAME?</v>
      </c>
      <c r="G37" s="0" t="e">
        <f aca="false">IF(ISBLANK(Instruments!E38),"",","&amp;""""&amp;Instruments!F$1&amp;""""&amp;":"&amp;""""&amp;Instruments!F38&amp;"""")</f>
        <v>#NAME?</v>
      </c>
      <c r="H37" s="0" t="e">
        <f aca="false">IF(ISBLANK(Instruments!F38),"",","&amp;""""&amp;Instruments!G$1&amp;""""&amp;":"&amp;""""&amp;Instruments!G38&amp;"""")</f>
        <v>#NAME?</v>
      </c>
      <c r="I37" s="0" t="str">
        <f aca="false">IF(ISBLANK(Instruments!G38),"",","&amp;""""&amp;Instruments!H$1&amp;""""&amp;":"&amp;""""&amp;Instruments!H38&amp;"""")</f>
        <v>,"params":""</v>
      </c>
      <c r="J37" s="0" t="str">
        <f aca="false">IF(ISBLANK(Instruments!I38),"",","&amp;""""&amp;Instruments!I$1&amp;""""&amp;":"&amp;""""&amp;Instruments!I38&amp;""""&amp;"}")</f>
        <v>,"tenor":"2Y"}</v>
      </c>
    </row>
    <row r="38" customFormat="false" ht="15" hidden="false" customHeight="false" outlineLevel="0" collapsed="false">
      <c r="A38" s="0" t="e">
        <f aca="false">_xlfn.CONCAT(B38:J38)</f>
        <v>#NAME?</v>
      </c>
      <c r="B38" s="0" t="str">
        <f aca="false">IF(ISBLANK(Instruments!A39),"","{"&amp;""""&amp;Instruments!A$1&amp;""""&amp;":"&amp;""""&amp;Instruments!A39&amp;"""")</f>
        <v>{"curve":"estr"</v>
      </c>
      <c r="C38" s="0" t="str">
        <f aca="false">IF(ISBLANK(Instruments!A39),"",","&amp;""""&amp;Instruments!B$1&amp;""""&amp;":"&amp;""""&amp;Instruments!B39&amp;"""")</f>
        <v>,"type":"IRS"</v>
      </c>
      <c r="D38" s="0" t="str">
        <f aca="false">IF(ISBLANK(Instruments!B39),"",","&amp;""""&amp;Instruments!C$1&amp;""""&amp;":"&amp;""""&amp;Instruments!C39&amp;"""")</f>
        <v>,"subtype":"OIS"</v>
      </c>
      <c r="E38" s="0" t="e">
        <f aca="false">IF(ISBLANK(Instruments!C39),"",","&amp;""""&amp;Instruments!D$1&amp;""""&amp;":"&amp;""""&amp;TEXT(Instruments!D39,"yyyy-mm-dd")&amp;"""")</f>
        <v>#NAME?</v>
      </c>
      <c r="F38" s="0" t="e">
        <f aca="false">IF(ISBLANK(Instruments!D39),"",","&amp;""""&amp;Instruments!E$1&amp;""""&amp;":"&amp;""""&amp;TEXT(Instruments!E39,"yyyy-mm-dd")&amp;"""")</f>
        <v>#NAME?</v>
      </c>
      <c r="G38" s="0" t="e">
        <f aca="false">IF(ISBLANK(Instruments!E39),"",","&amp;""""&amp;Instruments!F$1&amp;""""&amp;":"&amp;""""&amp;Instruments!F39&amp;"""")</f>
        <v>#NAME?</v>
      </c>
      <c r="H38" s="0" t="e">
        <f aca="false">IF(ISBLANK(Instruments!F39),"",","&amp;""""&amp;Instruments!G$1&amp;""""&amp;":"&amp;""""&amp;Instruments!G39&amp;"""")</f>
        <v>#NAME?</v>
      </c>
      <c r="I38" s="0" t="str">
        <f aca="false">IF(ISBLANK(Instruments!G39),"",","&amp;""""&amp;Instruments!H$1&amp;""""&amp;":"&amp;""""&amp;Instruments!H39&amp;"""")</f>
        <v>,"params":""</v>
      </c>
      <c r="J38" s="0" t="str">
        <f aca="false">IF(ISBLANK(Instruments!I39),"",","&amp;""""&amp;Instruments!I$1&amp;""""&amp;":"&amp;""""&amp;Instruments!I39&amp;""""&amp;"}")</f>
        <v>,"tenor":"3Y"}</v>
      </c>
    </row>
    <row r="39" customFormat="false" ht="15" hidden="false" customHeight="false" outlineLevel="0" collapsed="false">
      <c r="A39" s="0" t="e">
        <f aca="false">_xlfn.CONCAT(B39:J39)</f>
        <v>#NAME?</v>
      </c>
      <c r="B39" s="0" t="str">
        <f aca="false">IF(ISBLANK(Instruments!A40),"","{"&amp;""""&amp;Instruments!A$1&amp;""""&amp;":"&amp;""""&amp;Instruments!A40&amp;"""")</f>
        <v>{"curve":"estr"</v>
      </c>
      <c r="C39" s="0" t="str">
        <f aca="false">IF(ISBLANK(Instruments!A40),"",","&amp;""""&amp;Instruments!B$1&amp;""""&amp;":"&amp;""""&amp;Instruments!B40&amp;"""")</f>
        <v>,"type":"IRS"</v>
      </c>
      <c r="D39" s="0" t="str">
        <f aca="false">IF(ISBLANK(Instruments!B40),"",","&amp;""""&amp;Instruments!C$1&amp;""""&amp;":"&amp;""""&amp;Instruments!C40&amp;"""")</f>
        <v>,"subtype":"OIS"</v>
      </c>
      <c r="E39" s="0" t="e">
        <f aca="false">IF(ISBLANK(Instruments!C40),"",","&amp;""""&amp;Instruments!D$1&amp;""""&amp;":"&amp;""""&amp;TEXT(Instruments!D40,"yyyy-mm-dd")&amp;"""")</f>
        <v>#NAME?</v>
      </c>
      <c r="F39" s="0" t="e">
        <f aca="false">IF(ISBLANK(Instruments!D40),"",","&amp;""""&amp;Instruments!E$1&amp;""""&amp;":"&amp;""""&amp;TEXT(Instruments!E40,"yyyy-mm-dd")&amp;"""")</f>
        <v>#NAME?</v>
      </c>
      <c r="G39" s="0" t="e">
        <f aca="false">IF(ISBLANK(Instruments!E40),"",","&amp;""""&amp;Instruments!F$1&amp;""""&amp;":"&amp;""""&amp;Instruments!F40&amp;"""")</f>
        <v>#NAME?</v>
      </c>
      <c r="H39" s="0" t="e">
        <f aca="false">IF(ISBLANK(Instruments!F40),"",","&amp;""""&amp;Instruments!G$1&amp;""""&amp;":"&amp;""""&amp;Instruments!G40&amp;"""")</f>
        <v>#NAME?</v>
      </c>
      <c r="I39" s="0" t="str">
        <f aca="false">IF(ISBLANK(Instruments!G40),"",","&amp;""""&amp;Instruments!H$1&amp;""""&amp;":"&amp;""""&amp;Instruments!H40&amp;"""")</f>
        <v>,"params":""</v>
      </c>
      <c r="J39" s="0" t="str">
        <f aca="false">IF(ISBLANK(Instruments!I40),"",","&amp;""""&amp;Instruments!I$1&amp;""""&amp;":"&amp;""""&amp;Instruments!I40&amp;""""&amp;"}")</f>
        <v>,"tenor":"4Y"}</v>
      </c>
    </row>
    <row r="40" customFormat="false" ht="15" hidden="false" customHeight="false" outlineLevel="0" collapsed="false">
      <c r="A40" s="0" t="e">
        <f aca="false">_xlfn.CONCAT(B40:J40)</f>
        <v>#NAME?</v>
      </c>
      <c r="B40" s="0" t="str">
        <f aca="false">IF(ISBLANK(Instruments!A41),"","{"&amp;""""&amp;Instruments!A$1&amp;""""&amp;":"&amp;""""&amp;Instruments!A41&amp;"""")</f>
        <v>{"curve":"estr"</v>
      </c>
      <c r="C40" s="0" t="str">
        <f aca="false">IF(ISBLANK(Instruments!A41),"",","&amp;""""&amp;Instruments!B$1&amp;""""&amp;":"&amp;""""&amp;Instruments!B41&amp;"""")</f>
        <v>,"type":"IRS"</v>
      </c>
      <c r="D40" s="0" t="str">
        <f aca="false">IF(ISBLANK(Instruments!B41),"",","&amp;""""&amp;Instruments!C$1&amp;""""&amp;":"&amp;""""&amp;Instruments!C41&amp;"""")</f>
        <v>,"subtype":"OIS"</v>
      </c>
      <c r="E40" s="0" t="e">
        <f aca="false">IF(ISBLANK(Instruments!C41),"",","&amp;""""&amp;Instruments!D$1&amp;""""&amp;":"&amp;""""&amp;TEXT(Instruments!D41,"yyyy-mm-dd")&amp;"""")</f>
        <v>#NAME?</v>
      </c>
      <c r="F40" s="0" t="e">
        <f aca="false">IF(ISBLANK(Instruments!D41),"",","&amp;""""&amp;Instruments!E$1&amp;""""&amp;":"&amp;""""&amp;TEXT(Instruments!E41,"yyyy-mm-dd")&amp;"""")</f>
        <v>#NAME?</v>
      </c>
      <c r="G40" s="0" t="e">
        <f aca="false">IF(ISBLANK(Instruments!E41),"",","&amp;""""&amp;Instruments!F$1&amp;""""&amp;":"&amp;""""&amp;Instruments!F41&amp;"""")</f>
        <v>#NAME?</v>
      </c>
      <c r="H40" s="0" t="e">
        <f aca="false">IF(ISBLANK(Instruments!F41),"",","&amp;""""&amp;Instruments!G$1&amp;""""&amp;":"&amp;""""&amp;Instruments!G41&amp;"""")</f>
        <v>#NAME?</v>
      </c>
      <c r="I40" s="0" t="str">
        <f aca="false">IF(ISBLANK(Instruments!G41),"",","&amp;""""&amp;Instruments!H$1&amp;""""&amp;":"&amp;""""&amp;Instruments!H41&amp;"""")</f>
        <v>,"params":""</v>
      </c>
      <c r="J40" s="0" t="str">
        <f aca="false">IF(ISBLANK(Instruments!I41),"",","&amp;""""&amp;Instruments!I$1&amp;""""&amp;":"&amp;""""&amp;Instruments!I41&amp;""""&amp;"}")</f>
        <v>,"tenor":"5Y"}</v>
      </c>
    </row>
    <row r="41" customFormat="false" ht="15" hidden="false" customHeight="false" outlineLevel="0" collapsed="false">
      <c r="A41" s="0" t="e">
        <f aca="false">_xlfn.CONCAT(B41:J41)</f>
        <v>#NAME?</v>
      </c>
      <c r="B41" s="0" t="str">
        <f aca="false">IF(ISBLANK(Instruments!A42),"","{"&amp;""""&amp;Instruments!A$1&amp;""""&amp;":"&amp;""""&amp;Instruments!A42&amp;"""")</f>
        <v>{"curve":"estr"</v>
      </c>
      <c r="C41" s="0" t="str">
        <f aca="false">IF(ISBLANK(Instruments!A42),"",","&amp;""""&amp;Instruments!B$1&amp;""""&amp;":"&amp;""""&amp;Instruments!B42&amp;"""")</f>
        <v>,"type":"IRS"</v>
      </c>
      <c r="D41" s="0" t="str">
        <f aca="false">IF(ISBLANK(Instruments!B42),"",","&amp;""""&amp;Instruments!C$1&amp;""""&amp;":"&amp;""""&amp;Instruments!C42&amp;"""")</f>
        <v>,"subtype":"OIS"</v>
      </c>
      <c r="E41" s="0" t="e">
        <f aca="false">IF(ISBLANK(Instruments!C42),"",","&amp;""""&amp;Instruments!D$1&amp;""""&amp;":"&amp;""""&amp;TEXT(Instruments!D42,"yyyy-mm-dd")&amp;"""")</f>
        <v>#NAME?</v>
      </c>
      <c r="F41" s="0" t="e">
        <f aca="false">IF(ISBLANK(Instruments!D42),"",","&amp;""""&amp;Instruments!E$1&amp;""""&amp;":"&amp;""""&amp;TEXT(Instruments!E42,"yyyy-mm-dd")&amp;"""")</f>
        <v>#NAME?</v>
      </c>
      <c r="G41" s="0" t="e">
        <f aca="false">IF(ISBLANK(Instruments!E42),"",","&amp;""""&amp;Instruments!F$1&amp;""""&amp;":"&amp;""""&amp;Instruments!F42&amp;"""")</f>
        <v>#NAME?</v>
      </c>
      <c r="H41" s="0" t="e">
        <f aca="false">IF(ISBLANK(Instruments!F42),"",","&amp;""""&amp;Instruments!G$1&amp;""""&amp;":"&amp;""""&amp;Instruments!G42&amp;"""")</f>
        <v>#NAME?</v>
      </c>
      <c r="I41" s="0" t="str">
        <f aca="false">IF(ISBLANK(Instruments!G42),"",","&amp;""""&amp;Instruments!H$1&amp;""""&amp;":"&amp;""""&amp;Instruments!H42&amp;"""")</f>
        <v>,"params":""</v>
      </c>
      <c r="J41" s="0" t="str">
        <f aca="false">IF(ISBLANK(Instruments!I42),"",","&amp;""""&amp;Instruments!I$1&amp;""""&amp;":"&amp;""""&amp;Instruments!I42&amp;""""&amp;"}")</f>
        <v>,"tenor":"ECB0"}</v>
      </c>
    </row>
    <row r="42" customFormat="false" ht="15" hidden="false" customHeight="false" outlineLevel="0" collapsed="false">
      <c r="A42" s="0" t="e">
        <f aca="false">_xlfn.CONCAT(B42:J42)</f>
        <v>#NAME?</v>
      </c>
      <c r="B42" s="0" t="str">
        <f aca="false">IF(ISBLANK(Instruments!A43),"","{"&amp;""""&amp;Instruments!A$1&amp;""""&amp;":"&amp;""""&amp;Instruments!A43&amp;"""")</f>
        <v>{"curve":"estr"</v>
      </c>
      <c r="C42" s="0" t="str">
        <f aca="false">IF(ISBLANK(Instruments!A43),"",","&amp;""""&amp;Instruments!B$1&amp;""""&amp;":"&amp;""""&amp;Instruments!B43&amp;"""")</f>
        <v>,"type":"IRS"</v>
      </c>
      <c r="D42" s="0" t="str">
        <f aca="false">IF(ISBLANK(Instruments!B43),"",","&amp;""""&amp;Instruments!C$1&amp;""""&amp;":"&amp;""""&amp;Instruments!C43&amp;"""")</f>
        <v>,"subtype":"CBOIS"</v>
      </c>
      <c r="E42" s="0" t="e">
        <f aca="false">IF(ISBLANK(Instruments!C43),"",","&amp;""""&amp;Instruments!D$1&amp;""""&amp;":"&amp;""""&amp;TEXT(Instruments!D43,"yyyy-mm-dd")&amp;"""")</f>
        <v>#NAME?</v>
      </c>
      <c r="F42" s="0" t="e">
        <f aca="false">IF(ISBLANK(Instruments!D43),"",","&amp;""""&amp;Instruments!E$1&amp;""""&amp;":"&amp;""""&amp;TEXT(Instruments!E43,"yyyy-mm-dd")&amp;"""")</f>
        <v>#NAME?</v>
      </c>
      <c r="G42" s="0" t="e">
        <f aca="false">IF(ISBLANK(Instruments!E43),"",","&amp;""""&amp;Instruments!F$1&amp;""""&amp;":"&amp;""""&amp;Instruments!F43&amp;"""")</f>
        <v>#NAME?</v>
      </c>
      <c r="H42" s="0" t="e">
        <f aca="false">IF(ISBLANK(Instruments!F43),"",","&amp;""""&amp;Instruments!G$1&amp;""""&amp;":"&amp;""""&amp;Instruments!G43&amp;"""")</f>
        <v>#NAME?</v>
      </c>
      <c r="I42" s="0" t="str">
        <f aca="false">IF(ISBLANK(Instruments!G43),"",","&amp;""""&amp;Instruments!H$1&amp;""""&amp;":"&amp;""""&amp;Instruments!H43&amp;"""")</f>
        <v>,"params":""</v>
      </c>
      <c r="J42" s="0" t="str">
        <f aca="false">IF(ISBLANK(Instruments!I43),"",","&amp;""""&amp;Instruments!I$1&amp;""""&amp;":"&amp;""""&amp;Instruments!I43&amp;""""&amp;"}")</f>
        <v>,"tenor":"ECB1"}</v>
      </c>
    </row>
    <row r="43" customFormat="false" ht="15" hidden="false" customHeight="false" outlineLevel="0" collapsed="false">
      <c r="A43" s="0" t="e">
        <f aca="false">_xlfn.CONCAT(B43:J43)</f>
        <v>#NAME?</v>
      </c>
      <c r="B43" s="0" t="str">
        <f aca="false">IF(ISBLANK(Instruments!A44),"","{"&amp;""""&amp;Instruments!A$1&amp;""""&amp;":"&amp;""""&amp;Instruments!A44&amp;"""")</f>
        <v>{"curve":"estr"</v>
      </c>
      <c r="C43" s="0" t="str">
        <f aca="false">IF(ISBLANK(Instruments!A44),"",","&amp;""""&amp;Instruments!B$1&amp;""""&amp;":"&amp;""""&amp;Instruments!B44&amp;"""")</f>
        <v>,"type":"IRS"</v>
      </c>
      <c r="D43" s="0" t="str">
        <f aca="false">IF(ISBLANK(Instruments!B44),"",","&amp;""""&amp;Instruments!C$1&amp;""""&amp;":"&amp;""""&amp;Instruments!C44&amp;"""")</f>
        <v>,"subtype":"CBOIS"</v>
      </c>
      <c r="E43" s="0" t="e">
        <f aca="false">IF(ISBLANK(Instruments!C44),"",","&amp;""""&amp;Instruments!D$1&amp;""""&amp;":"&amp;""""&amp;TEXT(Instruments!D44,"yyyy-mm-dd")&amp;"""")</f>
        <v>#NAME?</v>
      </c>
      <c r="F43" s="0" t="e">
        <f aca="false">IF(ISBLANK(Instruments!D44),"",","&amp;""""&amp;Instruments!E$1&amp;""""&amp;":"&amp;""""&amp;TEXT(Instruments!E44,"yyyy-mm-dd")&amp;"""")</f>
        <v>#NAME?</v>
      </c>
      <c r="G43" s="0" t="e">
        <f aca="false">IF(ISBLANK(Instruments!E44),"",","&amp;""""&amp;Instruments!F$1&amp;""""&amp;":"&amp;""""&amp;Instruments!F44&amp;"""")</f>
        <v>#NAME?</v>
      </c>
      <c r="H43" s="0" t="e">
        <f aca="false">IF(ISBLANK(Instruments!F44),"",","&amp;""""&amp;Instruments!G$1&amp;""""&amp;":"&amp;""""&amp;Instruments!G44&amp;"""")</f>
        <v>#NAME?</v>
      </c>
      <c r="I43" s="0" t="str">
        <f aca="false">IF(ISBLANK(Instruments!G44),"",","&amp;""""&amp;Instruments!H$1&amp;""""&amp;":"&amp;""""&amp;Instruments!H44&amp;"""")</f>
        <v>,"params":""</v>
      </c>
      <c r="J43" s="0" t="str">
        <f aca="false">IF(ISBLANK(Instruments!I44),"",","&amp;""""&amp;Instruments!I$1&amp;""""&amp;":"&amp;""""&amp;Instruments!I44&amp;""""&amp;"}")</f>
        <v>,"tenor":"ECB2"}</v>
      </c>
    </row>
    <row r="44" customFormat="false" ht="15" hidden="false" customHeight="false" outlineLevel="0" collapsed="false">
      <c r="A44" s="0" t="e">
        <f aca="false">_xlfn.CONCAT(B44:J44)</f>
        <v>#NAME?</v>
      </c>
      <c r="B44" s="0" t="str">
        <f aca="false">IF(ISBLANK(Instruments!A45),"","{"&amp;""""&amp;Instruments!A$1&amp;""""&amp;":"&amp;""""&amp;Instruments!A45&amp;"""")</f>
        <v>{"curve":"estr"</v>
      </c>
      <c r="C44" s="0" t="str">
        <f aca="false">IF(ISBLANK(Instruments!A45),"",","&amp;""""&amp;Instruments!B$1&amp;""""&amp;":"&amp;""""&amp;Instruments!B45&amp;"""")</f>
        <v>,"type":"IRS"</v>
      </c>
      <c r="D44" s="0" t="str">
        <f aca="false">IF(ISBLANK(Instruments!B45),"",","&amp;""""&amp;Instruments!C$1&amp;""""&amp;":"&amp;""""&amp;Instruments!C45&amp;"""")</f>
        <v>,"subtype":"CBOIS"</v>
      </c>
      <c r="E44" s="0" t="e">
        <f aca="false">IF(ISBLANK(Instruments!C45),"",","&amp;""""&amp;Instruments!D$1&amp;""""&amp;":"&amp;""""&amp;TEXT(Instruments!D45,"yyyy-mm-dd")&amp;"""")</f>
        <v>#NAME?</v>
      </c>
      <c r="F44" s="0" t="e">
        <f aca="false">IF(ISBLANK(Instruments!D45),"",","&amp;""""&amp;Instruments!E$1&amp;""""&amp;":"&amp;""""&amp;TEXT(Instruments!E45,"yyyy-mm-dd")&amp;"""")</f>
        <v>#NAME?</v>
      </c>
      <c r="G44" s="0" t="e">
        <f aca="false">IF(ISBLANK(Instruments!E45),"",","&amp;""""&amp;Instruments!F$1&amp;""""&amp;":"&amp;""""&amp;Instruments!F45&amp;"""")</f>
        <v>#NAME?</v>
      </c>
      <c r="H44" s="0" t="e">
        <f aca="false">IF(ISBLANK(Instruments!F45),"",","&amp;""""&amp;Instruments!G$1&amp;""""&amp;":"&amp;""""&amp;Instruments!G45&amp;"""")</f>
        <v>#NAME?</v>
      </c>
      <c r="I44" s="0" t="str">
        <f aca="false">IF(ISBLANK(Instruments!G45),"",","&amp;""""&amp;Instruments!H$1&amp;""""&amp;":"&amp;""""&amp;Instruments!H45&amp;"""")</f>
        <v>,"params":""</v>
      </c>
      <c r="J44" s="0" t="str">
        <f aca="false">IF(ISBLANK(Instruments!I45),"",","&amp;""""&amp;Instruments!I$1&amp;""""&amp;":"&amp;""""&amp;Instruments!I45&amp;""""&amp;"}")</f>
        <v>,"tenor":"ECB3"}</v>
      </c>
    </row>
    <row r="45" customFormat="false" ht="15" hidden="false" customHeight="false" outlineLevel="0" collapsed="false">
      <c r="A45" s="0" t="e">
        <f aca="false">_xlfn.CONCAT(B45:J45)</f>
        <v>#NAME?</v>
      </c>
      <c r="B45" s="0" t="str">
        <f aca="false">IF(ISBLANK(Instruments!A46),"","{"&amp;""""&amp;Instruments!A$1&amp;""""&amp;":"&amp;""""&amp;Instruments!A46&amp;"""")</f>
        <v>{"curve":"estr"</v>
      </c>
      <c r="C45" s="0" t="str">
        <f aca="false">IF(ISBLANK(Instruments!A46),"",","&amp;""""&amp;Instruments!B$1&amp;""""&amp;":"&amp;""""&amp;Instruments!B46&amp;"""")</f>
        <v>,"type":"IRS"</v>
      </c>
      <c r="D45" s="0" t="str">
        <f aca="false">IF(ISBLANK(Instruments!B46),"",","&amp;""""&amp;Instruments!C$1&amp;""""&amp;":"&amp;""""&amp;Instruments!C46&amp;"""")</f>
        <v>,"subtype":"CBOIS"</v>
      </c>
      <c r="E45" s="0" t="e">
        <f aca="false">IF(ISBLANK(Instruments!C46),"",","&amp;""""&amp;Instruments!D$1&amp;""""&amp;":"&amp;""""&amp;TEXT(Instruments!D46,"yyyy-mm-dd")&amp;"""")</f>
        <v>#NAME?</v>
      </c>
      <c r="F45" s="0" t="e">
        <f aca="false">IF(ISBLANK(Instruments!D46),"",","&amp;""""&amp;Instruments!E$1&amp;""""&amp;":"&amp;""""&amp;TEXT(Instruments!E46,"yyyy-mm-dd")&amp;"""")</f>
        <v>#NAME?</v>
      </c>
      <c r="G45" s="0" t="e">
        <f aca="false">IF(ISBLANK(Instruments!E46),"",","&amp;""""&amp;Instruments!F$1&amp;""""&amp;":"&amp;""""&amp;Instruments!F46&amp;"""")</f>
        <v>#NAME?</v>
      </c>
      <c r="H45" s="0" t="e">
        <f aca="false">IF(ISBLANK(Instruments!F46),"",","&amp;""""&amp;Instruments!G$1&amp;""""&amp;":"&amp;""""&amp;Instruments!G46&amp;"""")</f>
        <v>#NAME?</v>
      </c>
      <c r="I45" s="0" t="str">
        <f aca="false">IF(ISBLANK(Instruments!G46),"",","&amp;""""&amp;Instruments!H$1&amp;""""&amp;":"&amp;""""&amp;Instruments!H46&amp;"""")</f>
        <v>,"params":""</v>
      </c>
      <c r="J45" s="0" t="str">
        <f aca="false">IF(ISBLANK(Instruments!I46),"",","&amp;""""&amp;Instruments!I$1&amp;""""&amp;":"&amp;""""&amp;Instruments!I46&amp;""""&amp;"}")</f>
        <v>,"tenor":"ECB4"}</v>
      </c>
    </row>
    <row r="46" customFormat="false" ht="15" hidden="false" customHeight="false" outlineLevel="0" collapsed="false">
      <c r="A46" s="0" t="e">
        <f aca="false">_xlfn.CONCAT(B46:J46)</f>
        <v>#NAME?</v>
      </c>
      <c r="B46" s="0" t="str">
        <f aca="false">IF(ISBLANK(Instruments!A47),"","{"&amp;""""&amp;Instruments!A$1&amp;""""&amp;":"&amp;""""&amp;Instruments!A47&amp;"""")</f>
        <v>{"curve":"estr"</v>
      </c>
      <c r="C46" s="0" t="str">
        <f aca="false">IF(ISBLANK(Instruments!A47),"",","&amp;""""&amp;Instruments!B$1&amp;""""&amp;":"&amp;""""&amp;Instruments!B47&amp;"""")</f>
        <v>,"type":"IRS"</v>
      </c>
      <c r="D46" s="0" t="str">
        <f aca="false">IF(ISBLANK(Instruments!B47),"",","&amp;""""&amp;Instruments!C$1&amp;""""&amp;":"&amp;""""&amp;Instruments!C47&amp;"""")</f>
        <v>,"subtype":"CBOIS"</v>
      </c>
      <c r="E46" s="0" t="e">
        <f aca="false">IF(ISBLANK(Instruments!C47),"",","&amp;""""&amp;Instruments!D$1&amp;""""&amp;":"&amp;""""&amp;TEXT(Instruments!D47,"yyyy-mm-dd")&amp;"""")</f>
        <v>#NAME?</v>
      </c>
      <c r="F46" s="0" t="e">
        <f aca="false">IF(ISBLANK(Instruments!D47),"",","&amp;""""&amp;Instruments!E$1&amp;""""&amp;":"&amp;""""&amp;TEXT(Instruments!E47,"yyyy-mm-dd")&amp;"""")</f>
        <v>#NAME?</v>
      </c>
      <c r="G46" s="0" t="e">
        <f aca="false">IF(ISBLANK(Instruments!E47),"",","&amp;""""&amp;Instruments!F$1&amp;""""&amp;":"&amp;""""&amp;Instruments!F47&amp;"""")</f>
        <v>#NAME?</v>
      </c>
      <c r="H46" s="0" t="e">
        <f aca="false">IF(ISBLANK(Instruments!F47),"",","&amp;""""&amp;Instruments!G$1&amp;""""&amp;":"&amp;""""&amp;Instruments!G47&amp;"""")</f>
        <v>#NAME?</v>
      </c>
      <c r="I46" s="0" t="str">
        <f aca="false">IF(ISBLANK(Instruments!G47),"",","&amp;""""&amp;Instruments!H$1&amp;""""&amp;":"&amp;""""&amp;Instruments!H47&amp;"""")</f>
        <v>,"params":""</v>
      </c>
      <c r="J46" s="0" t="str">
        <f aca="false">IF(ISBLANK(Instruments!I47),"",","&amp;""""&amp;Instruments!I$1&amp;""""&amp;":"&amp;""""&amp;Instruments!I47&amp;""""&amp;"}")</f>
        <v>,"tenor":"ECB5"}</v>
      </c>
    </row>
    <row r="47" customFormat="false" ht="15" hidden="false" customHeight="false" outlineLevel="0" collapsed="false">
      <c r="A47" s="0" t="e">
        <f aca="false">_xlfn.CONCAT(B47:J47)</f>
        <v>#NAME?</v>
      </c>
      <c r="B47" s="0" t="str">
        <f aca="false">IF(ISBLANK(Instruments!A48),"","{"&amp;""""&amp;Instruments!A$1&amp;""""&amp;":"&amp;""""&amp;Instruments!A48&amp;"""")</f>
        <v>{"curve":"estr"</v>
      </c>
      <c r="C47" s="0" t="str">
        <f aca="false">IF(ISBLANK(Instruments!A48),"",","&amp;""""&amp;Instruments!B$1&amp;""""&amp;":"&amp;""""&amp;Instruments!B48&amp;"""")</f>
        <v>,"type":"IRS"</v>
      </c>
      <c r="D47" s="0" t="str">
        <f aca="false">IF(ISBLANK(Instruments!B48),"",","&amp;""""&amp;Instruments!C$1&amp;""""&amp;":"&amp;""""&amp;Instruments!C48&amp;"""")</f>
        <v>,"subtype":"CBOIS"</v>
      </c>
      <c r="E47" s="0" t="e">
        <f aca="false">IF(ISBLANK(Instruments!C48),"",","&amp;""""&amp;Instruments!D$1&amp;""""&amp;":"&amp;""""&amp;TEXT(Instruments!D48,"yyyy-mm-dd")&amp;"""")</f>
        <v>#NAME?</v>
      </c>
      <c r="F47" s="0" t="e">
        <f aca="false">IF(ISBLANK(Instruments!D48),"",","&amp;""""&amp;Instruments!E$1&amp;""""&amp;":"&amp;""""&amp;TEXT(Instruments!E48,"yyyy-mm-dd")&amp;"""")</f>
        <v>#NAME?</v>
      </c>
      <c r="G47" s="0" t="e">
        <f aca="false">IF(ISBLANK(Instruments!E48),"",","&amp;""""&amp;Instruments!F$1&amp;""""&amp;":"&amp;""""&amp;Instruments!F48&amp;"""")</f>
        <v>#NAME?</v>
      </c>
      <c r="H47" s="0" t="e">
        <f aca="false">IF(ISBLANK(Instruments!F48),"",","&amp;""""&amp;Instruments!G$1&amp;""""&amp;":"&amp;""""&amp;Instruments!G48&amp;"""")</f>
        <v>#NAME?</v>
      </c>
      <c r="I47" s="0" t="str">
        <f aca="false">IF(ISBLANK(Instruments!G48),"",","&amp;""""&amp;Instruments!H$1&amp;""""&amp;":"&amp;""""&amp;Instruments!H48&amp;"""")</f>
        <v>,"params":""</v>
      </c>
      <c r="J47" s="0" t="str">
        <f aca="false">IF(ISBLANK(Instruments!I48),"",","&amp;""""&amp;Instruments!I$1&amp;""""&amp;":"&amp;""""&amp;Instruments!I48&amp;""""&amp;"}")</f>
        <v>,"tenor":"ECB6"}</v>
      </c>
    </row>
    <row r="48" customFormat="false" ht="15" hidden="false" customHeight="false" outlineLevel="0" collapsed="false">
      <c r="A48" s="0" t="e">
        <f aca="false">_xlfn.CONCAT(B48:J48)</f>
        <v>#NAME?</v>
      </c>
      <c r="B48" s="0" t="str">
        <f aca="false">IF(ISBLANK(Instruments!A49),"","{"&amp;""""&amp;Instruments!A$1&amp;""""&amp;":"&amp;""""&amp;Instruments!A49&amp;"""")</f>
        <v>{"curve":"estr"</v>
      </c>
      <c r="C48" s="0" t="str">
        <f aca="false">IF(ISBLANK(Instruments!A49),"",","&amp;""""&amp;Instruments!B$1&amp;""""&amp;":"&amp;""""&amp;Instruments!B49&amp;"""")</f>
        <v>,"type":"IRS"</v>
      </c>
      <c r="D48" s="0" t="str">
        <f aca="false">IF(ISBLANK(Instruments!B49),"",","&amp;""""&amp;Instruments!C$1&amp;""""&amp;":"&amp;""""&amp;Instruments!C49&amp;"""")</f>
        <v>,"subtype":"CBOIS"</v>
      </c>
      <c r="E48" s="0" t="e">
        <f aca="false">IF(ISBLANK(Instruments!C49),"",","&amp;""""&amp;Instruments!D$1&amp;""""&amp;":"&amp;""""&amp;TEXT(Instruments!D49,"yyyy-mm-dd")&amp;"""")</f>
        <v>#NAME?</v>
      </c>
      <c r="F48" s="0" t="e">
        <f aca="false">IF(ISBLANK(Instruments!D49),"",","&amp;""""&amp;Instruments!E$1&amp;""""&amp;":"&amp;""""&amp;TEXT(Instruments!E49,"yyyy-mm-dd")&amp;"""")</f>
        <v>#NAME?</v>
      </c>
      <c r="G48" s="0" t="e">
        <f aca="false">IF(ISBLANK(Instruments!E49),"",","&amp;""""&amp;Instruments!F$1&amp;""""&amp;":"&amp;""""&amp;Instruments!F49&amp;"""")</f>
        <v>#NAME?</v>
      </c>
      <c r="H48" s="0" t="e">
        <f aca="false">IF(ISBLANK(Instruments!F49),"",","&amp;""""&amp;Instruments!G$1&amp;""""&amp;":"&amp;""""&amp;Instruments!G49&amp;"""")</f>
        <v>#NAME?</v>
      </c>
      <c r="I48" s="0" t="str">
        <f aca="false">IF(ISBLANK(Instruments!G49),"",","&amp;""""&amp;Instruments!H$1&amp;""""&amp;":"&amp;""""&amp;Instruments!H49&amp;"""")</f>
        <v>,"params":""</v>
      </c>
      <c r="J48" s="0" t="str">
        <f aca="false">IF(ISBLANK(Instruments!I49),"",","&amp;""""&amp;Instruments!I$1&amp;""""&amp;":"&amp;""""&amp;Instruments!I49&amp;""""&amp;"}")</f>
        <v>,"tenor":"ECB7"}</v>
      </c>
    </row>
    <row r="49" customFormat="false" ht="15" hidden="false" customHeight="false" outlineLevel="0" collapsed="false">
      <c r="A49" s="0" t="e">
        <f aca="false">_xlfn.CONCAT(B49:J49)</f>
        <v>#NAME?</v>
      </c>
      <c r="B49" s="0" t="str">
        <f aca="false">IF(ISBLANK(Instruments!A50),"","{"&amp;""""&amp;Instruments!A$1&amp;""""&amp;":"&amp;""""&amp;Instruments!A50&amp;"""")</f>
        <v>{"curve":"estr"</v>
      </c>
      <c r="C49" s="0" t="str">
        <f aca="false">IF(ISBLANK(Instruments!A50),"",","&amp;""""&amp;Instruments!B$1&amp;""""&amp;":"&amp;""""&amp;Instruments!B50&amp;"""")</f>
        <v>,"type":"IRS"</v>
      </c>
      <c r="D49" s="0" t="str">
        <f aca="false">IF(ISBLANK(Instruments!B50),"",","&amp;""""&amp;Instruments!C$1&amp;""""&amp;":"&amp;""""&amp;Instruments!C50&amp;"""")</f>
        <v>,"subtype":"CBOIS"</v>
      </c>
      <c r="E49" s="0" t="e">
        <f aca="false">IF(ISBLANK(Instruments!C50),"",","&amp;""""&amp;Instruments!D$1&amp;""""&amp;":"&amp;""""&amp;TEXT(Instruments!D50,"yyyy-mm-dd")&amp;"""")</f>
        <v>#NAME?</v>
      </c>
      <c r="F49" s="0" t="e">
        <f aca="false">IF(ISBLANK(Instruments!D50),"",","&amp;""""&amp;Instruments!E$1&amp;""""&amp;":"&amp;""""&amp;TEXT(Instruments!E50,"yyyy-mm-dd")&amp;"""")</f>
        <v>#NAME?</v>
      </c>
      <c r="G49" s="0" t="e">
        <f aca="false">IF(ISBLANK(Instruments!E50),"",","&amp;""""&amp;Instruments!F$1&amp;""""&amp;":"&amp;""""&amp;Instruments!F50&amp;"""")</f>
        <v>#NAME?</v>
      </c>
      <c r="H49" s="0" t="e">
        <f aca="false">IF(ISBLANK(Instruments!F50),"",","&amp;""""&amp;Instruments!G$1&amp;""""&amp;":"&amp;""""&amp;Instruments!G50&amp;"""")</f>
        <v>#NAME?</v>
      </c>
      <c r="I49" s="0" t="str">
        <f aca="false">IF(ISBLANK(Instruments!G50),"",","&amp;""""&amp;Instruments!H$1&amp;""""&amp;":"&amp;""""&amp;Instruments!H50&amp;"""")</f>
        <v>,"params":""</v>
      </c>
      <c r="J49" s="0" t="str">
        <f aca="false">IF(ISBLANK(Instruments!I50),"",","&amp;""""&amp;Instruments!I$1&amp;""""&amp;":"&amp;""""&amp;Instruments!I50&amp;""""&amp;"}")</f>
        <v>,"tenor":"ECB8"}</v>
      </c>
    </row>
    <row r="50" customFormat="false" ht="15" hidden="false" customHeight="false" outlineLevel="0" collapsed="false">
      <c r="A50" s="0" t="e">
        <f aca="false">_xlfn.CONCAT(B50:J50)</f>
        <v>#NAME?</v>
      </c>
      <c r="B50" s="0" t="str">
        <f aca="false">IF(ISBLANK(Instruments!A51),"","{"&amp;""""&amp;Instruments!A$1&amp;""""&amp;":"&amp;""""&amp;Instruments!A51&amp;"""")</f>
        <v>{"curve":"eurusd"</v>
      </c>
      <c r="C50" s="0" t="str">
        <f aca="false">IF(ISBLANK(Instruments!A51),"",","&amp;""""&amp;Instruments!B$1&amp;""""&amp;":"&amp;""""&amp;Instruments!B51&amp;"""")</f>
        <v>,"type":"FXF"</v>
      </c>
      <c r="D50" s="0" t="str">
        <f aca="false">IF(ISBLANK(Instruments!B51),"",","&amp;""""&amp;Instruments!C$1&amp;""""&amp;":"&amp;""""&amp;Instruments!C51&amp;"""")</f>
        <v>,"subtype":"FXF"</v>
      </c>
      <c r="E50" s="0" t="e">
        <f aca="false">IF(ISBLANK(Instruments!C51),"",","&amp;""""&amp;Instruments!D$1&amp;""""&amp;":"&amp;""""&amp;TEXT(Instruments!D51,"yyyy-mm-dd")&amp;"""")</f>
        <v>#NAME?</v>
      </c>
      <c r="F50" s="0" t="e">
        <f aca="false">IF(ISBLANK(Instruments!D51),"",","&amp;""""&amp;Instruments!E$1&amp;""""&amp;":"&amp;""""&amp;TEXT(Instruments!E51,"yyyy-mm-dd")&amp;"""")</f>
        <v>#NAME?</v>
      </c>
      <c r="G50" s="0" t="e">
        <f aca="false">IF(ISBLANK(Instruments!E51),"",","&amp;""""&amp;Instruments!F$1&amp;""""&amp;":"&amp;""""&amp;Instruments!F51&amp;"""")</f>
        <v>#NAME?</v>
      </c>
      <c r="H50" s="0" t="e">
        <f aca="false">IF(ISBLANK(Instruments!F51),"",","&amp;""""&amp;Instruments!G$1&amp;""""&amp;":"&amp;""""&amp;Instruments!G51&amp;"""")</f>
        <v>#NAME?</v>
      </c>
      <c r="I50" s="0" t="str">
        <f aca="false">IF(ISBLANK(Instruments!G51),"",","&amp;""""&amp;Instruments!H$1&amp;""""&amp;":"&amp;""""&amp;Instruments!H51&amp;"""")</f>
        <v>,"params":""</v>
      </c>
      <c r="J50" s="0" t="str">
        <f aca="false">IF(ISBLANK(Instruments!I51),"",","&amp;""""&amp;Instruments!I$1&amp;""""&amp;":"&amp;""""&amp;Instruments!I51&amp;""""&amp;"}")</f>
        <v>,"tenor":"ON"}</v>
      </c>
    </row>
    <row r="51" customFormat="false" ht="15" hidden="false" customHeight="false" outlineLevel="0" collapsed="false">
      <c r="A51" s="0" t="e">
        <f aca="false">_xlfn.CONCAT(B51:J51)</f>
        <v>#NAME?</v>
      </c>
      <c r="B51" s="0" t="str">
        <f aca="false">IF(ISBLANK(Instruments!A52),"","{"&amp;""""&amp;Instruments!A$1&amp;""""&amp;":"&amp;""""&amp;Instruments!A52&amp;"""")</f>
        <v>{"curve":"eurusd"</v>
      </c>
      <c r="C51" s="0" t="str">
        <f aca="false">IF(ISBLANK(Instruments!A52),"",","&amp;""""&amp;Instruments!B$1&amp;""""&amp;":"&amp;""""&amp;Instruments!B52&amp;"""")</f>
        <v>,"type":"FXF"</v>
      </c>
      <c r="D51" s="0" t="str">
        <f aca="false">IF(ISBLANK(Instruments!B52),"",","&amp;""""&amp;Instruments!C$1&amp;""""&amp;":"&amp;""""&amp;Instruments!C52&amp;"""")</f>
        <v>,"subtype":"FXF"</v>
      </c>
      <c r="E51" s="0" t="e">
        <f aca="false">IF(ISBLANK(Instruments!C52),"",","&amp;""""&amp;Instruments!D$1&amp;""""&amp;":"&amp;""""&amp;TEXT(Instruments!D52,"yyyy-mm-dd")&amp;"""")</f>
        <v>#NAME?</v>
      </c>
      <c r="F51" s="0" t="e">
        <f aca="false">IF(ISBLANK(Instruments!D52),"",","&amp;""""&amp;Instruments!E$1&amp;""""&amp;":"&amp;""""&amp;TEXT(Instruments!E52,"yyyy-mm-dd")&amp;"""")</f>
        <v>#NAME?</v>
      </c>
      <c r="G51" s="0" t="e">
        <f aca="false">IF(ISBLANK(Instruments!E52),"",","&amp;""""&amp;Instruments!F$1&amp;""""&amp;":"&amp;""""&amp;Instruments!F52&amp;"""")</f>
        <v>#NAME?</v>
      </c>
      <c r="H51" s="0" t="e">
        <f aca="false">IF(ISBLANK(Instruments!F52),"",","&amp;""""&amp;Instruments!G$1&amp;""""&amp;":"&amp;""""&amp;Instruments!G52&amp;"""")</f>
        <v>#NAME?</v>
      </c>
      <c r="I51" s="0" t="str">
        <f aca="false">IF(ISBLANK(Instruments!G52),"",","&amp;""""&amp;Instruments!H$1&amp;""""&amp;":"&amp;""""&amp;Instruments!H52&amp;"""")</f>
        <v>,"params":""</v>
      </c>
      <c r="J51" s="0" t="str">
        <f aca="false">IF(ISBLANK(Instruments!I52),"",","&amp;""""&amp;Instruments!I$1&amp;""""&amp;":"&amp;""""&amp;Instruments!I52&amp;""""&amp;"}")</f>
        <v>,"tenor":"TN"}</v>
      </c>
    </row>
    <row r="52" customFormat="false" ht="15" hidden="false" customHeight="false" outlineLevel="0" collapsed="false">
      <c r="A52" s="0" t="e">
        <f aca="false">_xlfn.CONCAT(B52:J52)</f>
        <v>#NAME?</v>
      </c>
      <c r="B52" s="0" t="str">
        <f aca="false">IF(ISBLANK(Instruments!A53),"","{"&amp;""""&amp;Instruments!A$1&amp;""""&amp;":"&amp;""""&amp;Instruments!A53&amp;"""")</f>
        <v>{"curve":"eurusd"</v>
      </c>
      <c r="C52" s="0" t="str">
        <f aca="false">IF(ISBLANK(Instruments!A53),"",","&amp;""""&amp;Instruments!B$1&amp;""""&amp;":"&amp;""""&amp;Instruments!B53&amp;"""")</f>
        <v>,"type":"FXF"</v>
      </c>
      <c r="D52" s="0" t="str">
        <f aca="false">IF(ISBLANK(Instruments!B53),"",","&amp;""""&amp;Instruments!C$1&amp;""""&amp;":"&amp;""""&amp;Instruments!C53&amp;"""")</f>
        <v>,"subtype":"FXF"</v>
      </c>
      <c r="E52" s="0" t="e">
        <f aca="false">IF(ISBLANK(Instruments!C53),"",","&amp;""""&amp;Instruments!D$1&amp;""""&amp;":"&amp;""""&amp;TEXT(Instruments!D53,"yyyy-mm-dd")&amp;"""")</f>
        <v>#NAME?</v>
      </c>
      <c r="F52" s="0" t="e">
        <f aca="false">IF(ISBLANK(Instruments!D53),"",","&amp;""""&amp;Instruments!E$1&amp;""""&amp;":"&amp;""""&amp;TEXT(Instruments!E53,"yyyy-mm-dd")&amp;"""")</f>
        <v>#NAME?</v>
      </c>
      <c r="G52" s="0" t="e">
        <f aca="false">IF(ISBLANK(Instruments!E53),"",","&amp;""""&amp;Instruments!F$1&amp;""""&amp;":"&amp;""""&amp;Instruments!F53&amp;"""")</f>
        <v>#NAME?</v>
      </c>
      <c r="H52" s="0" t="e">
        <f aca="false">IF(ISBLANK(Instruments!F53),"",","&amp;""""&amp;Instruments!G$1&amp;""""&amp;":"&amp;""""&amp;Instruments!G53&amp;"""")</f>
        <v>#NAME?</v>
      </c>
      <c r="I52" s="0" t="str">
        <f aca="false">IF(ISBLANK(Instruments!G53),"",","&amp;""""&amp;Instruments!H$1&amp;""""&amp;":"&amp;""""&amp;Instruments!H53&amp;"""")</f>
        <v>,"params":""</v>
      </c>
      <c r="J52" s="0" t="str">
        <f aca="false">IF(ISBLANK(Instruments!I53),"",","&amp;""""&amp;Instruments!I$1&amp;""""&amp;":"&amp;""""&amp;Instruments!I53&amp;""""&amp;"}")</f>
        <v>,"tenor":"SN"}</v>
      </c>
    </row>
    <row r="53" customFormat="false" ht="15" hidden="false" customHeight="false" outlineLevel="0" collapsed="false">
      <c r="A53" s="0" t="e">
        <f aca="false">_xlfn.CONCAT(B53:J53)</f>
        <v>#NAME?</v>
      </c>
      <c r="B53" s="0" t="str">
        <f aca="false">IF(ISBLANK(Instruments!A54),"","{"&amp;""""&amp;Instruments!A$1&amp;""""&amp;":"&amp;""""&amp;Instruments!A54&amp;"""")</f>
        <v>{"curve":"eurusd"</v>
      </c>
      <c r="C53" s="0" t="str">
        <f aca="false">IF(ISBLANK(Instruments!A54),"",","&amp;""""&amp;Instruments!B$1&amp;""""&amp;":"&amp;""""&amp;Instruments!B54&amp;"""")</f>
        <v>,"type":"FXF"</v>
      </c>
      <c r="D53" s="0" t="str">
        <f aca="false">IF(ISBLANK(Instruments!B54),"",","&amp;""""&amp;Instruments!C$1&amp;""""&amp;":"&amp;""""&amp;Instruments!C54&amp;"""")</f>
        <v>,"subtype":"FXF"</v>
      </c>
      <c r="E53" s="0" t="e">
        <f aca="false">IF(ISBLANK(Instruments!C54),"",","&amp;""""&amp;Instruments!D$1&amp;""""&amp;":"&amp;""""&amp;TEXT(Instruments!D54,"yyyy-mm-dd")&amp;"""")</f>
        <v>#NAME?</v>
      </c>
      <c r="F53" s="0" t="e">
        <f aca="false">IF(ISBLANK(Instruments!D54),"",","&amp;""""&amp;Instruments!E$1&amp;""""&amp;":"&amp;""""&amp;TEXT(Instruments!E54,"yyyy-mm-dd")&amp;"""")</f>
        <v>#NAME?</v>
      </c>
      <c r="G53" s="0" t="e">
        <f aca="false">IF(ISBLANK(Instruments!E54),"",","&amp;""""&amp;Instruments!F$1&amp;""""&amp;":"&amp;""""&amp;Instruments!F54&amp;"""")</f>
        <v>#NAME?</v>
      </c>
      <c r="H53" s="0" t="e">
        <f aca="false">IF(ISBLANK(Instruments!F54),"",","&amp;""""&amp;Instruments!G$1&amp;""""&amp;":"&amp;""""&amp;Instruments!G54&amp;"""")</f>
        <v>#NAME?</v>
      </c>
      <c r="I53" s="0" t="str">
        <f aca="false">IF(ISBLANK(Instruments!G54),"",","&amp;""""&amp;Instruments!H$1&amp;""""&amp;":"&amp;""""&amp;Instruments!H54&amp;"""")</f>
        <v>,"params":""</v>
      </c>
      <c r="J53" s="0" t="str">
        <f aca="false">IF(ISBLANK(Instruments!I54),"",","&amp;""""&amp;Instruments!I$1&amp;""""&amp;":"&amp;""""&amp;Instruments!I54&amp;""""&amp;"}")</f>
        <v>,"tenor":"1W"}</v>
      </c>
    </row>
    <row r="54" customFormat="false" ht="15" hidden="false" customHeight="false" outlineLevel="0" collapsed="false">
      <c r="A54" s="0" t="e">
        <f aca="false">_xlfn.CONCAT(B54:J54)</f>
        <v>#NAME?</v>
      </c>
      <c r="B54" s="0" t="str">
        <f aca="false">IF(ISBLANK(Instruments!A55),"","{"&amp;""""&amp;Instruments!A$1&amp;""""&amp;":"&amp;""""&amp;Instruments!A55&amp;"""")</f>
        <v>{"curve":"eurusd"</v>
      </c>
      <c r="C54" s="0" t="str">
        <f aca="false">IF(ISBLANK(Instruments!A55),"",","&amp;""""&amp;Instruments!B$1&amp;""""&amp;":"&amp;""""&amp;Instruments!B55&amp;"""")</f>
        <v>,"type":"FXF"</v>
      </c>
      <c r="D54" s="0" t="str">
        <f aca="false">IF(ISBLANK(Instruments!B55),"",","&amp;""""&amp;Instruments!C$1&amp;""""&amp;":"&amp;""""&amp;Instruments!C55&amp;"""")</f>
        <v>,"subtype":"FXF"</v>
      </c>
      <c r="E54" s="0" t="e">
        <f aca="false">IF(ISBLANK(Instruments!C55),"",","&amp;""""&amp;Instruments!D$1&amp;""""&amp;":"&amp;""""&amp;TEXT(Instruments!D55,"yyyy-mm-dd")&amp;"""")</f>
        <v>#NAME?</v>
      </c>
      <c r="F54" s="0" t="e">
        <f aca="false">IF(ISBLANK(Instruments!D55),"",","&amp;""""&amp;Instruments!E$1&amp;""""&amp;":"&amp;""""&amp;TEXT(Instruments!E55,"yyyy-mm-dd")&amp;"""")</f>
        <v>#NAME?</v>
      </c>
      <c r="G54" s="0" t="e">
        <f aca="false">IF(ISBLANK(Instruments!E55),"",","&amp;""""&amp;Instruments!F$1&amp;""""&amp;":"&amp;""""&amp;Instruments!F55&amp;"""")</f>
        <v>#NAME?</v>
      </c>
      <c r="H54" s="0" t="e">
        <f aca="false">IF(ISBLANK(Instruments!F55),"",","&amp;""""&amp;Instruments!G$1&amp;""""&amp;":"&amp;""""&amp;Instruments!G55&amp;"""")</f>
        <v>#NAME?</v>
      </c>
      <c r="I54" s="0" t="str">
        <f aca="false">IF(ISBLANK(Instruments!G55),"",","&amp;""""&amp;Instruments!H$1&amp;""""&amp;":"&amp;""""&amp;Instruments!H55&amp;"""")</f>
        <v>,"params":""</v>
      </c>
      <c r="J54" s="0" t="str">
        <f aca="false">IF(ISBLANK(Instruments!I55),"",","&amp;""""&amp;Instruments!I$1&amp;""""&amp;":"&amp;""""&amp;Instruments!I55&amp;""""&amp;"}")</f>
        <v>,"tenor":"2W"}</v>
      </c>
    </row>
    <row r="55" customFormat="false" ht="15" hidden="false" customHeight="false" outlineLevel="0" collapsed="false">
      <c r="A55" s="0" t="e">
        <f aca="false">_xlfn.CONCAT(B55:J55)</f>
        <v>#NAME?</v>
      </c>
      <c r="B55" s="0" t="str">
        <f aca="false">IF(ISBLANK(Instruments!A56),"","{"&amp;""""&amp;Instruments!A$1&amp;""""&amp;":"&amp;""""&amp;Instruments!A56&amp;"""")</f>
        <v>{"curve":"eurusd"</v>
      </c>
      <c r="C55" s="0" t="str">
        <f aca="false">IF(ISBLANK(Instruments!A56),"",","&amp;""""&amp;Instruments!B$1&amp;""""&amp;":"&amp;""""&amp;Instruments!B56&amp;"""")</f>
        <v>,"type":"FXF"</v>
      </c>
      <c r="D55" s="0" t="str">
        <f aca="false">IF(ISBLANK(Instruments!B56),"",","&amp;""""&amp;Instruments!C$1&amp;""""&amp;":"&amp;""""&amp;Instruments!C56&amp;"""")</f>
        <v>,"subtype":"FXF"</v>
      </c>
      <c r="E55" s="0" t="e">
        <f aca="false">IF(ISBLANK(Instruments!C56),"",","&amp;""""&amp;Instruments!D$1&amp;""""&amp;":"&amp;""""&amp;TEXT(Instruments!D56,"yyyy-mm-dd")&amp;"""")</f>
        <v>#NAME?</v>
      </c>
      <c r="F55" s="0" t="e">
        <f aca="false">IF(ISBLANK(Instruments!D56),"",","&amp;""""&amp;Instruments!E$1&amp;""""&amp;":"&amp;""""&amp;TEXT(Instruments!E56,"yyyy-mm-dd")&amp;"""")</f>
        <v>#NAME?</v>
      </c>
      <c r="G55" s="0" t="e">
        <f aca="false">IF(ISBLANK(Instruments!E56),"",","&amp;""""&amp;Instruments!F$1&amp;""""&amp;":"&amp;""""&amp;Instruments!F56&amp;"""")</f>
        <v>#NAME?</v>
      </c>
      <c r="H55" s="0" t="e">
        <f aca="false">IF(ISBLANK(Instruments!F56),"",","&amp;""""&amp;Instruments!G$1&amp;""""&amp;":"&amp;""""&amp;Instruments!G56&amp;"""")</f>
        <v>#NAME?</v>
      </c>
      <c r="I55" s="0" t="str">
        <f aca="false">IF(ISBLANK(Instruments!G56),"",","&amp;""""&amp;Instruments!H$1&amp;""""&amp;":"&amp;""""&amp;Instruments!H56&amp;"""")</f>
        <v>,"params":""</v>
      </c>
      <c r="J55" s="0" t="str">
        <f aca="false">IF(ISBLANK(Instruments!I56),"",","&amp;""""&amp;Instruments!I$1&amp;""""&amp;":"&amp;""""&amp;Instruments!I56&amp;""""&amp;"}")</f>
        <v>,"tenor":"3W"}</v>
      </c>
    </row>
    <row r="56" customFormat="false" ht="15" hidden="false" customHeight="false" outlineLevel="0" collapsed="false">
      <c r="A56" s="0" t="e">
        <f aca="false">_xlfn.CONCAT(B56:J56)</f>
        <v>#NAME?</v>
      </c>
      <c r="B56" s="0" t="str">
        <f aca="false">IF(ISBLANK(Instruments!A57),"","{"&amp;""""&amp;Instruments!A$1&amp;""""&amp;":"&amp;""""&amp;Instruments!A57&amp;"""")</f>
        <v>{"curve":"eurusd"</v>
      </c>
      <c r="C56" s="0" t="str">
        <f aca="false">IF(ISBLANK(Instruments!A57),"",","&amp;""""&amp;Instruments!B$1&amp;""""&amp;":"&amp;""""&amp;Instruments!B57&amp;"""")</f>
        <v>,"type":"FXF"</v>
      </c>
      <c r="D56" s="0" t="str">
        <f aca="false">IF(ISBLANK(Instruments!B57),"",","&amp;""""&amp;Instruments!C$1&amp;""""&amp;":"&amp;""""&amp;Instruments!C57&amp;"""")</f>
        <v>,"subtype":"FXF"</v>
      </c>
      <c r="E56" s="0" t="e">
        <f aca="false">IF(ISBLANK(Instruments!C57),"",","&amp;""""&amp;Instruments!D$1&amp;""""&amp;":"&amp;""""&amp;TEXT(Instruments!D57,"yyyy-mm-dd")&amp;"""")</f>
        <v>#NAME?</v>
      </c>
      <c r="F56" s="0" t="e">
        <f aca="false">IF(ISBLANK(Instruments!D57),"",","&amp;""""&amp;Instruments!E$1&amp;""""&amp;":"&amp;""""&amp;TEXT(Instruments!E57,"yyyy-mm-dd")&amp;"""")</f>
        <v>#NAME?</v>
      </c>
      <c r="G56" s="0" t="e">
        <f aca="false">IF(ISBLANK(Instruments!E57),"",","&amp;""""&amp;Instruments!F$1&amp;""""&amp;":"&amp;""""&amp;Instruments!F57&amp;"""")</f>
        <v>#NAME?</v>
      </c>
      <c r="H56" s="0" t="e">
        <f aca="false">IF(ISBLANK(Instruments!F57),"",","&amp;""""&amp;Instruments!G$1&amp;""""&amp;":"&amp;""""&amp;Instruments!G57&amp;"""")</f>
        <v>#NAME?</v>
      </c>
      <c r="I56" s="0" t="str">
        <f aca="false">IF(ISBLANK(Instruments!G57),"",","&amp;""""&amp;Instruments!H$1&amp;""""&amp;":"&amp;""""&amp;Instruments!H57&amp;"""")</f>
        <v>,"params":""</v>
      </c>
      <c r="J56" s="0" t="str">
        <f aca="false">IF(ISBLANK(Instruments!I57),"",","&amp;""""&amp;Instruments!I$1&amp;""""&amp;":"&amp;""""&amp;Instruments!I57&amp;""""&amp;"}")</f>
        <v>,"tenor":"1M"}</v>
      </c>
    </row>
    <row r="57" customFormat="false" ht="15" hidden="false" customHeight="false" outlineLevel="0" collapsed="false">
      <c r="A57" s="0" t="e">
        <f aca="false">_xlfn.CONCAT(B57:J57)</f>
        <v>#NAME?</v>
      </c>
      <c r="B57" s="0" t="str">
        <f aca="false">IF(ISBLANK(Instruments!A58),"","{"&amp;""""&amp;Instruments!A$1&amp;""""&amp;":"&amp;""""&amp;Instruments!A58&amp;"""")</f>
        <v>{"curve":"eurusd"</v>
      </c>
      <c r="C57" s="0" t="str">
        <f aca="false">IF(ISBLANK(Instruments!A58),"",","&amp;""""&amp;Instruments!B$1&amp;""""&amp;":"&amp;""""&amp;Instruments!B58&amp;"""")</f>
        <v>,"type":"FXF"</v>
      </c>
      <c r="D57" s="0" t="str">
        <f aca="false">IF(ISBLANK(Instruments!B58),"",","&amp;""""&amp;Instruments!C$1&amp;""""&amp;":"&amp;""""&amp;Instruments!C58&amp;"""")</f>
        <v>,"subtype":"FXF"</v>
      </c>
      <c r="E57" s="0" t="e">
        <f aca="false">IF(ISBLANK(Instruments!C58),"",","&amp;""""&amp;Instruments!D$1&amp;""""&amp;":"&amp;""""&amp;TEXT(Instruments!D58,"yyyy-mm-dd")&amp;"""")</f>
        <v>#NAME?</v>
      </c>
      <c r="F57" s="0" t="e">
        <f aca="false">IF(ISBLANK(Instruments!D58),"",","&amp;""""&amp;Instruments!E$1&amp;""""&amp;":"&amp;""""&amp;TEXT(Instruments!E58,"yyyy-mm-dd")&amp;"""")</f>
        <v>#NAME?</v>
      </c>
      <c r="G57" s="0" t="e">
        <f aca="false">IF(ISBLANK(Instruments!E58),"",","&amp;""""&amp;Instruments!F$1&amp;""""&amp;":"&amp;""""&amp;Instruments!F58&amp;"""")</f>
        <v>#NAME?</v>
      </c>
      <c r="H57" s="0" t="e">
        <f aca="false">IF(ISBLANK(Instruments!F58),"",","&amp;""""&amp;Instruments!G$1&amp;""""&amp;":"&amp;""""&amp;Instruments!G58&amp;"""")</f>
        <v>#NAME?</v>
      </c>
      <c r="I57" s="0" t="str">
        <f aca="false">IF(ISBLANK(Instruments!G58),"",","&amp;""""&amp;Instruments!H$1&amp;""""&amp;":"&amp;""""&amp;Instruments!H58&amp;"""")</f>
        <v>,"params":""</v>
      </c>
      <c r="J57" s="0" t="str">
        <f aca="false">IF(ISBLANK(Instruments!I58),"",","&amp;""""&amp;Instruments!I$1&amp;""""&amp;":"&amp;""""&amp;Instruments!I58&amp;""""&amp;"}")</f>
        <v>,"tenor":"2M"}</v>
      </c>
    </row>
    <row r="58" customFormat="false" ht="15" hidden="false" customHeight="false" outlineLevel="0" collapsed="false">
      <c r="A58" s="0" t="e">
        <f aca="false">_xlfn.CONCAT(B58:J58)</f>
        <v>#NAME?</v>
      </c>
      <c r="B58" s="0" t="str">
        <f aca="false">IF(ISBLANK(Instruments!A59),"","{"&amp;""""&amp;Instruments!A$1&amp;""""&amp;":"&amp;""""&amp;Instruments!A59&amp;"""")</f>
        <v>{"curve":"eurusd"</v>
      </c>
      <c r="C58" s="0" t="str">
        <f aca="false">IF(ISBLANK(Instruments!A59),"",","&amp;""""&amp;Instruments!B$1&amp;""""&amp;":"&amp;""""&amp;Instruments!B59&amp;"""")</f>
        <v>,"type":"FXF"</v>
      </c>
      <c r="D58" s="0" t="str">
        <f aca="false">IF(ISBLANK(Instruments!B59),"",","&amp;""""&amp;Instruments!C$1&amp;""""&amp;":"&amp;""""&amp;Instruments!C59&amp;"""")</f>
        <v>,"subtype":"FXF"</v>
      </c>
      <c r="E58" s="0" t="e">
        <f aca="false">IF(ISBLANK(Instruments!C59),"",","&amp;""""&amp;Instruments!D$1&amp;""""&amp;":"&amp;""""&amp;TEXT(Instruments!D59,"yyyy-mm-dd")&amp;"""")</f>
        <v>#NAME?</v>
      </c>
      <c r="F58" s="0" t="e">
        <f aca="false">IF(ISBLANK(Instruments!D59),"",","&amp;""""&amp;Instruments!E$1&amp;""""&amp;":"&amp;""""&amp;TEXT(Instruments!E59,"yyyy-mm-dd")&amp;"""")</f>
        <v>#NAME?</v>
      </c>
      <c r="G58" s="0" t="e">
        <f aca="false">IF(ISBLANK(Instruments!E59),"",","&amp;""""&amp;Instruments!F$1&amp;""""&amp;":"&amp;""""&amp;Instruments!F59&amp;"""")</f>
        <v>#NAME?</v>
      </c>
      <c r="H58" s="0" t="e">
        <f aca="false">IF(ISBLANK(Instruments!F59),"",","&amp;""""&amp;Instruments!G$1&amp;""""&amp;":"&amp;""""&amp;Instruments!G59&amp;"""")</f>
        <v>#NAME?</v>
      </c>
      <c r="I58" s="0" t="str">
        <f aca="false">IF(ISBLANK(Instruments!G59),"",","&amp;""""&amp;Instruments!H$1&amp;""""&amp;":"&amp;""""&amp;Instruments!H59&amp;"""")</f>
        <v>,"params":""</v>
      </c>
      <c r="J58" s="0" t="str">
        <f aca="false">IF(ISBLANK(Instruments!I59),"",","&amp;""""&amp;Instruments!I$1&amp;""""&amp;":"&amp;""""&amp;Instruments!I59&amp;""""&amp;"}")</f>
        <v>,"tenor":"3M"}</v>
      </c>
    </row>
    <row r="59" customFormat="false" ht="15" hidden="false" customHeight="false" outlineLevel="0" collapsed="false">
      <c r="A59" s="0" t="e">
        <f aca="false">_xlfn.CONCAT(B59:J59)</f>
        <v>#NAME?</v>
      </c>
      <c r="B59" s="0" t="str">
        <f aca="false">IF(ISBLANK(Instruments!A60),"","{"&amp;""""&amp;Instruments!A$1&amp;""""&amp;":"&amp;""""&amp;Instruments!A60&amp;"""")</f>
        <v>{"curve":"eurusd"</v>
      </c>
      <c r="C59" s="0" t="str">
        <f aca="false">IF(ISBLANK(Instruments!A60),"",","&amp;""""&amp;Instruments!B$1&amp;""""&amp;":"&amp;""""&amp;Instruments!B60&amp;"""")</f>
        <v>,"type":"FXF"</v>
      </c>
      <c r="D59" s="0" t="str">
        <f aca="false">IF(ISBLANK(Instruments!B60),"",","&amp;""""&amp;Instruments!C$1&amp;""""&amp;":"&amp;""""&amp;Instruments!C60&amp;"""")</f>
        <v>,"subtype":"FXF"</v>
      </c>
      <c r="E59" s="0" t="e">
        <f aca="false">IF(ISBLANK(Instruments!C60),"",","&amp;""""&amp;Instruments!D$1&amp;""""&amp;":"&amp;""""&amp;TEXT(Instruments!D60,"yyyy-mm-dd")&amp;"""")</f>
        <v>#NAME?</v>
      </c>
      <c r="F59" s="0" t="e">
        <f aca="false">IF(ISBLANK(Instruments!D60),"",","&amp;""""&amp;Instruments!E$1&amp;""""&amp;":"&amp;""""&amp;TEXT(Instruments!E60,"yyyy-mm-dd")&amp;"""")</f>
        <v>#NAME?</v>
      </c>
      <c r="G59" s="0" t="e">
        <f aca="false">IF(ISBLANK(Instruments!E60),"",","&amp;""""&amp;Instruments!F$1&amp;""""&amp;":"&amp;""""&amp;Instruments!F60&amp;"""")</f>
        <v>#NAME?</v>
      </c>
      <c r="H59" s="0" t="e">
        <f aca="false">IF(ISBLANK(Instruments!F60),"",","&amp;""""&amp;Instruments!G$1&amp;""""&amp;":"&amp;""""&amp;Instruments!G60&amp;"""")</f>
        <v>#NAME?</v>
      </c>
      <c r="I59" s="0" t="str">
        <f aca="false">IF(ISBLANK(Instruments!G60),"",","&amp;""""&amp;Instruments!H$1&amp;""""&amp;":"&amp;""""&amp;Instruments!H60&amp;"""")</f>
        <v>,"params":""</v>
      </c>
      <c r="J59" s="0" t="str">
        <f aca="false">IF(ISBLANK(Instruments!I60),"",","&amp;""""&amp;Instruments!I$1&amp;""""&amp;":"&amp;""""&amp;Instruments!I60&amp;""""&amp;"}")</f>
        <v>,"tenor":"4M"}</v>
      </c>
    </row>
    <row r="60" customFormat="false" ht="15" hidden="false" customHeight="false" outlineLevel="0" collapsed="false">
      <c r="A60" s="0" t="e">
        <f aca="false">_xlfn.CONCAT(B60:J60)</f>
        <v>#NAME?</v>
      </c>
      <c r="B60" s="0" t="str">
        <f aca="false">IF(ISBLANK(Instruments!A61),"","{"&amp;""""&amp;Instruments!A$1&amp;""""&amp;":"&amp;""""&amp;Instruments!A61&amp;"""")</f>
        <v>{"curve":"eurusd"</v>
      </c>
      <c r="C60" s="0" t="str">
        <f aca="false">IF(ISBLANK(Instruments!A61),"",","&amp;""""&amp;Instruments!B$1&amp;""""&amp;":"&amp;""""&amp;Instruments!B61&amp;"""")</f>
        <v>,"type":"FXF"</v>
      </c>
      <c r="D60" s="0" t="str">
        <f aca="false">IF(ISBLANK(Instruments!B61),"",","&amp;""""&amp;Instruments!C$1&amp;""""&amp;":"&amp;""""&amp;Instruments!C61&amp;"""")</f>
        <v>,"subtype":"FXF"</v>
      </c>
      <c r="E60" s="0" t="e">
        <f aca="false">IF(ISBLANK(Instruments!C61),"",","&amp;""""&amp;Instruments!D$1&amp;""""&amp;":"&amp;""""&amp;TEXT(Instruments!D61,"yyyy-mm-dd")&amp;"""")</f>
        <v>#NAME?</v>
      </c>
      <c r="F60" s="0" t="e">
        <f aca="false">IF(ISBLANK(Instruments!D61),"",","&amp;""""&amp;Instruments!E$1&amp;""""&amp;":"&amp;""""&amp;TEXT(Instruments!E61,"yyyy-mm-dd")&amp;"""")</f>
        <v>#NAME?</v>
      </c>
      <c r="G60" s="0" t="e">
        <f aca="false">IF(ISBLANK(Instruments!E61),"",","&amp;""""&amp;Instruments!F$1&amp;""""&amp;":"&amp;""""&amp;Instruments!F61&amp;"""")</f>
        <v>#NAME?</v>
      </c>
      <c r="H60" s="0" t="e">
        <f aca="false">IF(ISBLANK(Instruments!F61),"",","&amp;""""&amp;Instruments!G$1&amp;""""&amp;":"&amp;""""&amp;Instruments!G61&amp;"""")</f>
        <v>#NAME?</v>
      </c>
      <c r="I60" s="0" t="str">
        <f aca="false">IF(ISBLANK(Instruments!G61),"",","&amp;""""&amp;Instruments!H$1&amp;""""&amp;":"&amp;""""&amp;Instruments!H61&amp;"""")</f>
        <v>,"params":""</v>
      </c>
      <c r="J60" s="0" t="str">
        <f aca="false">IF(ISBLANK(Instruments!I61),"",","&amp;""""&amp;Instruments!I$1&amp;""""&amp;":"&amp;""""&amp;Instruments!I61&amp;""""&amp;"}")</f>
        <v>,"tenor":"5M"}</v>
      </c>
    </row>
    <row r="61" customFormat="false" ht="15" hidden="false" customHeight="false" outlineLevel="0" collapsed="false">
      <c r="A61" s="0" t="e">
        <f aca="false">_xlfn.CONCAT(B61:J61)</f>
        <v>#NAME?</v>
      </c>
      <c r="B61" s="0" t="str">
        <f aca="false">IF(ISBLANK(Instruments!A62),"","{"&amp;""""&amp;Instruments!A$1&amp;""""&amp;":"&amp;""""&amp;Instruments!A62&amp;"""")</f>
        <v>{"curve":"eurusd"</v>
      </c>
      <c r="C61" s="0" t="str">
        <f aca="false">IF(ISBLANK(Instruments!A62),"",","&amp;""""&amp;Instruments!B$1&amp;""""&amp;":"&amp;""""&amp;Instruments!B62&amp;"""")</f>
        <v>,"type":"FXF"</v>
      </c>
      <c r="D61" s="0" t="str">
        <f aca="false">IF(ISBLANK(Instruments!B62),"",","&amp;""""&amp;Instruments!C$1&amp;""""&amp;":"&amp;""""&amp;Instruments!C62&amp;"""")</f>
        <v>,"subtype":"FXF"</v>
      </c>
      <c r="E61" s="0" t="e">
        <f aca="false">IF(ISBLANK(Instruments!C62),"",","&amp;""""&amp;Instruments!D$1&amp;""""&amp;":"&amp;""""&amp;TEXT(Instruments!D62,"yyyy-mm-dd")&amp;"""")</f>
        <v>#NAME?</v>
      </c>
      <c r="F61" s="0" t="e">
        <f aca="false">IF(ISBLANK(Instruments!D62),"",","&amp;""""&amp;Instruments!E$1&amp;""""&amp;":"&amp;""""&amp;TEXT(Instruments!E62,"yyyy-mm-dd")&amp;"""")</f>
        <v>#NAME?</v>
      </c>
      <c r="G61" s="0" t="e">
        <f aca="false">IF(ISBLANK(Instruments!E62),"",","&amp;""""&amp;Instruments!F$1&amp;""""&amp;":"&amp;""""&amp;Instruments!F62&amp;"""")</f>
        <v>#NAME?</v>
      </c>
      <c r="H61" s="0" t="e">
        <f aca="false">IF(ISBLANK(Instruments!F62),"",","&amp;""""&amp;Instruments!G$1&amp;""""&amp;":"&amp;""""&amp;Instruments!G62&amp;"""")</f>
        <v>#NAME?</v>
      </c>
      <c r="I61" s="0" t="str">
        <f aca="false">IF(ISBLANK(Instruments!G62),"",","&amp;""""&amp;Instruments!H$1&amp;""""&amp;":"&amp;""""&amp;Instruments!H62&amp;"""")</f>
        <v>,"params":""</v>
      </c>
      <c r="J61" s="0" t="str">
        <f aca="false">IF(ISBLANK(Instruments!I62),"",","&amp;""""&amp;Instruments!I$1&amp;""""&amp;":"&amp;""""&amp;Instruments!I62&amp;""""&amp;"}")</f>
        <v>,"tenor":"6M"}</v>
      </c>
    </row>
    <row r="62" customFormat="false" ht="15" hidden="false" customHeight="false" outlineLevel="0" collapsed="false">
      <c r="A62" s="0" t="e">
        <f aca="false">_xlfn.CONCAT(B62:J62)</f>
        <v>#NAME?</v>
      </c>
      <c r="B62" s="0" t="str">
        <f aca="false">IF(ISBLANK(Instruments!A63),"","{"&amp;""""&amp;Instruments!A$1&amp;""""&amp;":"&amp;""""&amp;Instruments!A63&amp;"""")</f>
        <v>{"curve":"eurusd"</v>
      </c>
      <c r="C62" s="0" t="str">
        <f aca="false">IF(ISBLANK(Instruments!A63),"",","&amp;""""&amp;Instruments!B$1&amp;""""&amp;":"&amp;""""&amp;Instruments!B63&amp;"""")</f>
        <v>,"type":"FXF"</v>
      </c>
      <c r="D62" s="0" t="str">
        <f aca="false">IF(ISBLANK(Instruments!B63),"",","&amp;""""&amp;Instruments!C$1&amp;""""&amp;":"&amp;""""&amp;Instruments!C63&amp;"""")</f>
        <v>,"subtype":"FXF"</v>
      </c>
      <c r="E62" s="0" t="e">
        <f aca="false">IF(ISBLANK(Instruments!C63),"",","&amp;""""&amp;Instruments!D$1&amp;""""&amp;":"&amp;""""&amp;TEXT(Instruments!D63,"yyyy-mm-dd")&amp;"""")</f>
        <v>#NAME?</v>
      </c>
      <c r="F62" s="0" t="e">
        <f aca="false">IF(ISBLANK(Instruments!D63),"",","&amp;""""&amp;Instruments!E$1&amp;""""&amp;":"&amp;""""&amp;TEXT(Instruments!E63,"yyyy-mm-dd")&amp;"""")</f>
        <v>#NAME?</v>
      </c>
      <c r="G62" s="0" t="e">
        <f aca="false">IF(ISBLANK(Instruments!E63),"",","&amp;""""&amp;Instruments!F$1&amp;""""&amp;":"&amp;""""&amp;Instruments!F63&amp;"""")</f>
        <v>#NAME?</v>
      </c>
      <c r="H62" s="0" t="e">
        <f aca="false">IF(ISBLANK(Instruments!F63),"",","&amp;""""&amp;Instruments!G$1&amp;""""&amp;":"&amp;""""&amp;Instruments!G63&amp;"""")</f>
        <v>#NAME?</v>
      </c>
      <c r="I62" s="0" t="str">
        <f aca="false">IF(ISBLANK(Instruments!G63),"",","&amp;""""&amp;Instruments!H$1&amp;""""&amp;":"&amp;""""&amp;Instruments!H63&amp;"""")</f>
        <v>,"params":""</v>
      </c>
      <c r="J62" s="0" t="str">
        <f aca="false">IF(ISBLANK(Instruments!I63),"",","&amp;""""&amp;Instruments!I$1&amp;""""&amp;":"&amp;""""&amp;Instruments!I63&amp;""""&amp;"}")</f>
        <v>,"tenor":"7M"}</v>
      </c>
    </row>
    <row r="63" customFormat="false" ht="15" hidden="false" customHeight="false" outlineLevel="0" collapsed="false">
      <c r="A63" s="0" t="e">
        <f aca="false">_xlfn.CONCAT(B63:J63)</f>
        <v>#NAME?</v>
      </c>
      <c r="B63" s="0" t="str">
        <f aca="false">IF(ISBLANK(Instruments!A64),"","{"&amp;""""&amp;Instruments!A$1&amp;""""&amp;":"&amp;""""&amp;Instruments!A64&amp;"""")</f>
        <v>{"curve":"eurusd"</v>
      </c>
      <c r="C63" s="0" t="str">
        <f aca="false">IF(ISBLANK(Instruments!A64),"",","&amp;""""&amp;Instruments!B$1&amp;""""&amp;":"&amp;""""&amp;Instruments!B64&amp;"""")</f>
        <v>,"type":"FXF"</v>
      </c>
      <c r="D63" s="0" t="str">
        <f aca="false">IF(ISBLANK(Instruments!B64),"",","&amp;""""&amp;Instruments!C$1&amp;""""&amp;":"&amp;""""&amp;Instruments!C64&amp;"""")</f>
        <v>,"subtype":"FXF"</v>
      </c>
      <c r="E63" s="0" t="e">
        <f aca="false">IF(ISBLANK(Instruments!C64),"",","&amp;""""&amp;Instruments!D$1&amp;""""&amp;":"&amp;""""&amp;TEXT(Instruments!D64,"yyyy-mm-dd")&amp;"""")</f>
        <v>#NAME?</v>
      </c>
      <c r="F63" s="0" t="e">
        <f aca="false">IF(ISBLANK(Instruments!D64),"",","&amp;""""&amp;Instruments!E$1&amp;""""&amp;":"&amp;""""&amp;TEXT(Instruments!E64,"yyyy-mm-dd")&amp;"""")</f>
        <v>#NAME?</v>
      </c>
      <c r="G63" s="0" t="e">
        <f aca="false">IF(ISBLANK(Instruments!E64),"",","&amp;""""&amp;Instruments!F$1&amp;""""&amp;":"&amp;""""&amp;Instruments!F64&amp;"""")</f>
        <v>#NAME?</v>
      </c>
      <c r="H63" s="0" t="e">
        <f aca="false">IF(ISBLANK(Instruments!F64),"",","&amp;""""&amp;Instruments!G$1&amp;""""&amp;":"&amp;""""&amp;Instruments!G64&amp;"""")</f>
        <v>#NAME?</v>
      </c>
      <c r="I63" s="0" t="str">
        <f aca="false">IF(ISBLANK(Instruments!G64),"",","&amp;""""&amp;Instruments!H$1&amp;""""&amp;":"&amp;""""&amp;Instruments!H64&amp;"""")</f>
        <v>,"params":""</v>
      </c>
      <c r="J63" s="0" t="str">
        <f aca="false">IF(ISBLANK(Instruments!I64),"",","&amp;""""&amp;Instruments!I$1&amp;""""&amp;":"&amp;""""&amp;Instruments!I64&amp;""""&amp;"}")</f>
        <v>,"tenor":"8M"}</v>
      </c>
    </row>
    <row r="64" customFormat="false" ht="15" hidden="false" customHeight="false" outlineLevel="0" collapsed="false">
      <c r="A64" s="0" t="e">
        <f aca="false">_xlfn.CONCAT(B64:J64)</f>
        <v>#NAME?</v>
      </c>
      <c r="B64" s="0" t="str">
        <f aca="false">IF(ISBLANK(Instruments!A65),"","{"&amp;""""&amp;Instruments!A$1&amp;""""&amp;":"&amp;""""&amp;Instruments!A65&amp;"""")</f>
        <v>{"curve":"eurusd"</v>
      </c>
      <c r="C64" s="0" t="str">
        <f aca="false">IF(ISBLANK(Instruments!A65),"",","&amp;""""&amp;Instruments!B$1&amp;""""&amp;":"&amp;""""&amp;Instruments!B65&amp;"""")</f>
        <v>,"type":"FXF"</v>
      </c>
      <c r="D64" s="0" t="str">
        <f aca="false">IF(ISBLANK(Instruments!B65),"",","&amp;""""&amp;Instruments!C$1&amp;""""&amp;":"&amp;""""&amp;Instruments!C65&amp;"""")</f>
        <v>,"subtype":"FXF"</v>
      </c>
      <c r="E64" s="0" t="e">
        <f aca="false">IF(ISBLANK(Instruments!C65),"",","&amp;""""&amp;Instruments!D$1&amp;""""&amp;":"&amp;""""&amp;TEXT(Instruments!D65,"yyyy-mm-dd")&amp;"""")</f>
        <v>#NAME?</v>
      </c>
      <c r="F64" s="0" t="e">
        <f aca="false">IF(ISBLANK(Instruments!D65),"",","&amp;""""&amp;Instruments!E$1&amp;""""&amp;":"&amp;""""&amp;TEXT(Instruments!E65,"yyyy-mm-dd")&amp;"""")</f>
        <v>#NAME?</v>
      </c>
      <c r="G64" s="0" t="e">
        <f aca="false">IF(ISBLANK(Instruments!E65),"",","&amp;""""&amp;Instruments!F$1&amp;""""&amp;":"&amp;""""&amp;Instruments!F65&amp;"""")</f>
        <v>#NAME?</v>
      </c>
      <c r="H64" s="0" t="e">
        <f aca="false">IF(ISBLANK(Instruments!F65),"",","&amp;""""&amp;Instruments!G$1&amp;""""&amp;":"&amp;""""&amp;Instruments!G65&amp;"""")</f>
        <v>#NAME?</v>
      </c>
      <c r="I64" s="0" t="str">
        <f aca="false">IF(ISBLANK(Instruments!G65),"",","&amp;""""&amp;Instruments!H$1&amp;""""&amp;":"&amp;""""&amp;Instruments!H65&amp;"""")</f>
        <v>,"params":""</v>
      </c>
      <c r="J64" s="0" t="str">
        <f aca="false">IF(ISBLANK(Instruments!I65),"",","&amp;""""&amp;Instruments!I$1&amp;""""&amp;":"&amp;""""&amp;Instruments!I65&amp;""""&amp;"}")</f>
        <v>,"tenor":"9M"}</v>
      </c>
    </row>
    <row r="65" customFormat="false" ht="15" hidden="false" customHeight="false" outlineLevel="0" collapsed="false">
      <c r="A65" s="0" t="e">
        <f aca="false">_xlfn.CONCAT(B65:J65)</f>
        <v>#NAME?</v>
      </c>
      <c r="B65" s="0" t="str">
        <f aca="false">IF(ISBLANK(Instruments!A66),"","{"&amp;""""&amp;Instruments!A$1&amp;""""&amp;":"&amp;""""&amp;Instruments!A66&amp;"""")</f>
        <v>{"curve":"eurusd"</v>
      </c>
      <c r="C65" s="0" t="str">
        <f aca="false">IF(ISBLANK(Instruments!A66),"",","&amp;""""&amp;Instruments!B$1&amp;""""&amp;":"&amp;""""&amp;Instruments!B66&amp;"""")</f>
        <v>,"type":"FXF"</v>
      </c>
      <c r="D65" s="0" t="str">
        <f aca="false">IF(ISBLANK(Instruments!B66),"",","&amp;""""&amp;Instruments!C$1&amp;""""&amp;":"&amp;""""&amp;Instruments!C66&amp;"""")</f>
        <v>,"subtype":"FXF"</v>
      </c>
      <c r="E65" s="0" t="e">
        <f aca="false">IF(ISBLANK(Instruments!C66),"",","&amp;""""&amp;Instruments!D$1&amp;""""&amp;":"&amp;""""&amp;TEXT(Instruments!D66,"yyyy-mm-dd")&amp;"""")</f>
        <v>#NAME?</v>
      </c>
      <c r="F65" s="0" t="e">
        <f aca="false">IF(ISBLANK(Instruments!D66),"",","&amp;""""&amp;Instruments!E$1&amp;""""&amp;":"&amp;""""&amp;TEXT(Instruments!E66,"yyyy-mm-dd")&amp;"""")</f>
        <v>#NAME?</v>
      </c>
      <c r="G65" s="0" t="e">
        <f aca="false">IF(ISBLANK(Instruments!E66),"",","&amp;""""&amp;Instruments!F$1&amp;""""&amp;":"&amp;""""&amp;Instruments!F66&amp;"""")</f>
        <v>#NAME?</v>
      </c>
      <c r="H65" s="0" t="e">
        <f aca="false">IF(ISBLANK(Instruments!F66),"",","&amp;""""&amp;Instruments!G$1&amp;""""&amp;":"&amp;""""&amp;Instruments!G66&amp;"""")</f>
        <v>#NAME?</v>
      </c>
      <c r="I65" s="0" t="str">
        <f aca="false">IF(ISBLANK(Instruments!G66),"",","&amp;""""&amp;Instruments!H$1&amp;""""&amp;":"&amp;""""&amp;Instruments!H66&amp;"""")</f>
        <v>,"params":""</v>
      </c>
      <c r="J65" s="0" t="str">
        <f aca="false">IF(ISBLANK(Instruments!I66),"",","&amp;""""&amp;Instruments!I$1&amp;""""&amp;":"&amp;""""&amp;Instruments!I66&amp;""""&amp;"}")</f>
        <v>,"tenor":"10M"}</v>
      </c>
    </row>
    <row r="66" customFormat="false" ht="15" hidden="false" customHeight="false" outlineLevel="0" collapsed="false">
      <c r="A66" s="0" t="e">
        <f aca="false">_xlfn.CONCAT(B66:J66)</f>
        <v>#NAME?</v>
      </c>
      <c r="B66" s="0" t="str">
        <f aca="false">IF(ISBLANK(Instruments!A67),"","{"&amp;""""&amp;Instruments!A$1&amp;""""&amp;":"&amp;""""&amp;Instruments!A67&amp;"""")</f>
        <v>{"curve":"eurusd"</v>
      </c>
      <c r="C66" s="0" t="str">
        <f aca="false">IF(ISBLANK(Instruments!A67),"",","&amp;""""&amp;Instruments!B$1&amp;""""&amp;":"&amp;""""&amp;Instruments!B67&amp;"""")</f>
        <v>,"type":"FXF"</v>
      </c>
      <c r="D66" s="0" t="str">
        <f aca="false">IF(ISBLANK(Instruments!B67),"",","&amp;""""&amp;Instruments!C$1&amp;""""&amp;":"&amp;""""&amp;Instruments!C67&amp;"""")</f>
        <v>,"subtype":"FXF"</v>
      </c>
      <c r="E66" s="0" t="e">
        <f aca="false">IF(ISBLANK(Instruments!C67),"",","&amp;""""&amp;Instruments!D$1&amp;""""&amp;":"&amp;""""&amp;TEXT(Instruments!D67,"yyyy-mm-dd")&amp;"""")</f>
        <v>#NAME?</v>
      </c>
      <c r="F66" s="0" t="e">
        <f aca="false">IF(ISBLANK(Instruments!D67),"",","&amp;""""&amp;Instruments!E$1&amp;""""&amp;":"&amp;""""&amp;TEXT(Instruments!E67,"yyyy-mm-dd")&amp;"""")</f>
        <v>#NAME?</v>
      </c>
      <c r="G66" s="0" t="e">
        <f aca="false">IF(ISBLANK(Instruments!E67),"",","&amp;""""&amp;Instruments!F$1&amp;""""&amp;":"&amp;""""&amp;Instruments!F67&amp;"""")</f>
        <v>#NAME?</v>
      </c>
      <c r="H66" s="0" t="e">
        <f aca="false">IF(ISBLANK(Instruments!F67),"",","&amp;""""&amp;Instruments!G$1&amp;""""&amp;":"&amp;""""&amp;Instruments!G67&amp;"""")</f>
        <v>#NAME?</v>
      </c>
      <c r="I66" s="0" t="str">
        <f aca="false">IF(ISBLANK(Instruments!G67),"",","&amp;""""&amp;Instruments!H$1&amp;""""&amp;":"&amp;""""&amp;Instruments!H67&amp;"""")</f>
        <v>,"params":""</v>
      </c>
      <c r="J66" s="0" t="str">
        <f aca="false">IF(ISBLANK(Instruments!I67),"",","&amp;""""&amp;Instruments!I$1&amp;""""&amp;":"&amp;""""&amp;Instruments!I67&amp;""""&amp;"}")</f>
        <v>,"tenor":"11M"}</v>
      </c>
    </row>
    <row r="67" customFormat="false" ht="15" hidden="false" customHeight="false" outlineLevel="0" collapsed="false">
      <c r="A67" s="0" t="e">
        <f aca="false">_xlfn.CONCAT(B67:J67)</f>
        <v>#NAME?</v>
      </c>
      <c r="B67" s="0" t="str">
        <f aca="false">IF(ISBLANK(Instruments!A68),"","{"&amp;""""&amp;Instruments!A$1&amp;""""&amp;":"&amp;""""&amp;Instruments!A68&amp;"""")</f>
        <v>{"curve":"eurusd"</v>
      </c>
      <c r="C67" s="0" t="str">
        <f aca="false">IF(ISBLANK(Instruments!A68),"",","&amp;""""&amp;Instruments!B$1&amp;""""&amp;":"&amp;""""&amp;Instruments!B68&amp;"""")</f>
        <v>,"type":"FXF"</v>
      </c>
      <c r="D67" s="0" t="str">
        <f aca="false">IF(ISBLANK(Instruments!B68),"",","&amp;""""&amp;Instruments!C$1&amp;""""&amp;":"&amp;""""&amp;Instruments!C68&amp;"""")</f>
        <v>,"subtype":"FXF"</v>
      </c>
      <c r="E67" s="0" t="e">
        <f aca="false">IF(ISBLANK(Instruments!C68),"",","&amp;""""&amp;Instruments!D$1&amp;""""&amp;":"&amp;""""&amp;TEXT(Instruments!D68,"yyyy-mm-dd")&amp;"""")</f>
        <v>#NAME?</v>
      </c>
      <c r="F67" s="0" t="e">
        <f aca="false">IF(ISBLANK(Instruments!D68),"",","&amp;""""&amp;Instruments!E$1&amp;""""&amp;":"&amp;""""&amp;TEXT(Instruments!E68,"yyyy-mm-dd")&amp;"""")</f>
        <v>#NAME?</v>
      </c>
      <c r="G67" s="0" t="e">
        <f aca="false">IF(ISBLANK(Instruments!E68),"",","&amp;""""&amp;Instruments!F$1&amp;""""&amp;":"&amp;""""&amp;Instruments!F68&amp;"""")</f>
        <v>#NAME?</v>
      </c>
      <c r="H67" s="0" t="e">
        <f aca="false">IF(ISBLANK(Instruments!F68),"",","&amp;""""&amp;Instruments!G$1&amp;""""&amp;":"&amp;""""&amp;Instruments!G68&amp;"""")</f>
        <v>#NAME?</v>
      </c>
      <c r="I67" s="0" t="str">
        <f aca="false">IF(ISBLANK(Instruments!G68),"",","&amp;""""&amp;Instruments!H$1&amp;""""&amp;":"&amp;""""&amp;Instruments!H68&amp;"""")</f>
        <v>,"params":""</v>
      </c>
      <c r="J67" s="0" t="str">
        <f aca="false">IF(ISBLANK(Instruments!I68),"",","&amp;""""&amp;Instruments!I$1&amp;""""&amp;":"&amp;""""&amp;Instruments!I68&amp;""""&amp;"}")</f>
        <v>,"tenor":"12M"}</v>
      </c>
    </row>
    <row r="68" customFormat="false" ht="15" hidden="false" customHeight="false" outlineLevel="0" collapsed="false">
      <c r="A68" s="0" t="e">
        <f aca="false">_xlfn.CONCAT(B68:J68)</f>
        <v>#NAME?</v>
      </c>
      <c r="B68" s="0" t="str">
        <f aca="false">IF(ISBLANK(Instruments!A69),"","{"&amp;""""&amp;Instruments!A$1&amp;""""&amp;":"&amp;""""&amp;Instruments!A69&amp;"""")</f>
        <v>{"curve":"eurusd"</v>
      </c>
      <c r="C68" s="0" t="str">
        <f aca="false">IF(ISBLANK(Instruments!A69),"",","&amp;""""&amp;Instruments!B$1&amp;""""&amp;":"&amp;""""&amp;Instruments!B69&amp;"""")</f>
        <v>,"type":"FXF"</v>
      </c>
      <c r="D68" s="0" t="str">
        <f aca="false">IF(ISBLANK(Instruments!B69),"",","&amp;""""&amp;Instruments!C$1&amp;""""&amp;":"&amp;""""&amp;Instruments!C69&amp;"""")</f>
        <v>,"subtype":"FXF"</v>
      </c>
      <c r="E68" s="0" t="e">
        <f aca="false">IF(ISBLANK(Instruments!C69),"",","&amp;""""&amp;Instruments!D$1&amp;""""&amp;":"&amp;""""&amp;TEXT(Instruments!D69,"yyyy-mm-dd")&amp;"""")</f>
        <v>#NAME?</v>
      </c>
      <c r="F68" s="0" t="e">
        <f aca="false">IF(ISBLANK(Instruments!D69),"",","&amp;""""&amp;Instruments!E$1&amp;""""&amp;":"&amp;""""&amp;TEXT(Instruments!E69,"yyyy-mm-dd")&amp;"""")</f>
        <v>#NAME?</v>
      </c>
      <c r="G68" s="0" t="e">
        <f aca="false">IF(ISBLANK(Instruments!E69),"",","&amp;""""&amp;Instruments!F$1&amp;""""&amp;":"&amp;""""&amp;Instruments!F69&amp;"""")</f>
        <v>#NAME?</v>
      </c>
      <c r="H68" s="0" t="e">
        <f aca="false">IF(ISBLANK(Instruments!F69),"",","&amp;""""&amp;Instruments!G$1&amp;""""&amp;":"&amp;""""&amp;Instruments!G69&amp;"""")</f>
        <v>#NAME?</v>
      </c>
      <c r="I68" s="0" t="str">
        <f aca="false">IF(ISBLANK(Instruments!G69),"",","&amp;""""&amp;Instruments!H$1&amp;""""&amp;":"&amp;""""&amp;Instruments!H69&amp;"""")</f>
        <v>,"params":""</v>
      </c>
      <c r="J68" s="0" t="str">
        <f aca="false">IF(ISBLANK(Instruments!I69),"",","&amp;""""&amp;Instruments!I$1&amp;""""&amp;":"&amp;""""&amp;Instruments!I69&amp;""""&amp;"}")</f>
        <v>,"tenor":"15M"}</v>
      </c>
    </row>
    <row r="69" customFormat="false" ht="15" hidden="false" customHeight="false" outlineLevel="0" collapsed="false">
      <c r="A69" s="0" t="e">
        <f aca="false">_xlfn.CONCAT(B69:J69)</f>
        <v>#NAME?</v>
      </c>
      <c r="B69" s="0" t="str">
        <f aca="false">IF(ISBLANK(Instruments!A70),"","{"&amp;""""&amp;Instruments!A$1&amp;""""&amp;":"&amp;""""&amp;Instruments!A70&amp;"""")</f>
        <v>{"curve":"eurusd"</v>
      </c>
      <c r="C69" s="0" t="str">
        <f aca="false">IF(ISBLANK(Instruments!A70),"",","&amp;""""&amp;Instruments!B$1&amp;""""&amp;":"&amp;""""&amp;Instruments!B70&amp;"""")</f>
        <v>,"type":"FXF"</v>
      </c>
      <c r="D69" s="0" t="str">
        <f aca="false">IF(ISBLANK(Instruments!B70),"",","&amp;""""&amp;Instruments!C$1&amp;""""&amp;":"&amp;""""&amp;Instruments!C70&amp;"""")</f>
        <v>,"subtype":"FXF"</v>
      </c>
      <c r="E69" s="0" t="e">
        <f aca="false">IF(ISBLANK(Instruments!C70),"",","&amp;""""&amp;Instruments!D$1&amp;""""&amp;":"&amp;""""&amp;TEXT(Instruments!D70,"yyyy-mm-dd")&amp;"""")</f>
        <v>#NAME?</v>
      </c>
      <c r="F69" s="0" t="e">
        <f aca="false">IF(ISBLANK(Instruments!D70),"",","&amp;""""&amp;Instruments!E$1&amp;""""&amp;":"&amp;""""&amp;TEXT(Instruments!E70,"yyyy-mm-dd")&amp;"""")</f>
        <v>#NAME?</v>
      </c>
      <c r="G69" s="0" t="e">
        <f aca="false">IF(ISBLANK(Instruments!E70),"",","&amp;""""&amp;Instruments!F$1&amp;""""&amp;":"&amp;""""&amp;Instruments!F70&amp;"""")</f>
        <v>#NAME?</v>
      </c>
      <c r="H69" s="0" t="e">
        <f aca="false">IF(ISBLANK(Instruments!F70),"",","&amp;""""&amp;Instruments!G$1&amp;""""&amp;":"&amp;""""&amp;Instruments!G70&amp;"""")</f>
        <v>#NAME?</v>
      </c>
      <c r="I69" s="0" t="str">
        <f aca="false">IF(ISBLANK(Instruments!G70),"",","&amp;""""&amp;Instruments!H$1&amp;""""&amp;":"&amp;""""&amp;Instruments!H70&amp;"""")</f>
        <v>,"params":""</v>
      </c>
      <c r="J69" s="0" t="str">
        <f aca="false">IF(ISBLANK(Instruments!I70),"",","&amp;""""&amp;Instruments!I$1&amp;""""&amp;":"&amp;""""&amp;Instruments!I70&amp;""""&amp;"}")</f>
        <v>,"tenor":"18M"}</v>
      </c>
    </row>
    <row r="70" customFormat="false" ht="15" hidden="false" customHeight="false" outlineLevel="0" collapsed="false">
      <c r="A70" s="0" t="e">
        <f aca="false">_xlfn.CONCAT(B70:J70)</f>
        <v>#NAME?</v>
      </c>
      <c r="B70" s="0" t="str">
        <f aca="false">IF(ISBLANK(Instruments!A71),"","{"&amp;""""&amp;Instruments!A$1&amp;""""&amp;":"&amp;""""&amp;Instruments!A71&amp;"""")</f>
        <v>{"curve":"eurusd"</v>
      </c>
      <c r="C70" s="0" t="str">
        <f aca="false">IF(ISBLANK(Instruments!A71),"",","&amp;""""&amp;Instruments!B$1&amp;""""&amp;":"&amp;""""&amp;Instruments!B71&amp;"""")</f>
        <v>,"type":"FXF"</v>
      </c>
      <c r="D70" s="0" t="str">
        <f aca="false">IF(ISBLANK(Instruments!B71),"",","&amp;""""&amp;Instruments!C$1&amp;""""&amp;":"&amp;""""&amp;Instruments!C71&amp;"""")</f>
        <v>,"subtype":"FXF"</v>
      </c>
      <c r="E70" s="0" t="e">
        <f aca="false">IF(ISBLANK(Instruments!C71),"",","&amp;""""&amp;Instruments!D$1&amp;""""&amp;":"&amp;""""&amp;TEXT(Instruments!D71,"yyyy-mm-dd")&amp;"""")</f>
        <v>#NAME?</v>
      </c>
      <c r="F70" s="0" t="e">
        <f aca="false">IF(ISBLANK(Instruments!D71),"",","&amp;""""&amp;Instruments!E$1&amp;""""&amp;":"&amp;""""&amp;TEXT(Instruments!E71,"yyyy-mm-dd")&amp;"""")</f>
        <v>#NAME?</v>
      </c>
      <c r="G70" s="0" t="e">
        <f aca="false">IF(ISBLANK(Instruments!E71),"",","&amp;""""&amp;Instruments!F$1&amp;""""&amp;":"&amp;""""&amp;Instruments!F71&amp;"""")</f>
        <v>#NAME?</v>
      </c>
      <c r="H70" s="0" t="e">
        <f aca="false">IF(ISBLANK(Instruments!F71),"",","&amp;""""&amp;Instruments!G$1&amp;""""&amp;":"&amp;""""&amp;Instruments!G71&amp;"""")</f>
        <v>#NAME?</v>
      </c>
      <c r="I70" s="0" t="str">
        <f aca="false">IF(ISBLANK(Instruments!G71),"",","&amp;""""&amp;Instruments!H$1&amp;""""&amp;":"&amp;""""&amp;Instruments!H71&amp;"""")</f>
        <v>,"params":""</v>
      </c>
      <c r="J70" s="0" t="str">
        <f aca="false">IF(ISBLANK(Instruments!I71),"",","&amp;""""&amp;Instruments!I$1&amp;""""&amp;":"&amp;""""&amp;Instruments!I71&amp;""""&amp;"}")</f>
        <v>,"tenor":"21M"}</v>
      </c>
    </row>
    <row r="71" customFormat="false" ht="15" hidden="false" customHeight="false" outlineLevel="0" collapsed="false">
      <c r="A71" s="0" t="e">
        <f aca="false">_xlfn.CONCAT(B71:J71)</f>
        <v>#NAME?</v>
      </c>
      <c r="B71" s="0" t="str">
        <f aca="false">IF(ISBLANK(Instruments!A72),"","{"&amp;""""&amp;Instruments!A$1&amp;""""&amp;":"&amp;""""&amp;Instruments!A72&amp;"""")</f>
        <v>{"curve":"eurusd"</v>
      </c>
      <c r="C71" s="0" t="str">
        <f aca="false">IF(ISBLANK(Instruments!A72),"",","&amp;""""&amp;Instruments!B$1&amp;""""&amp;":"&amp;""""&amp;Instruments!B72&amp;"""")</f>
        <v>,"type":"FXF"</v>
      </c>
      <c r="D71" s="0" t="str">
        <f aca="false">IF(ISBLANK(Instruments!B72),"",","&amp;""""&amp;Instruments!C$1&amp;""""&amp;":"&amp;""""&amp;Instruments!C72&amp;"""")</f>
        <v>,"subtype":"FXF"</v>
      </c>
      <c r="E71" s="0" t="e">
        <f aca="false">IF(ISBLANK(Instruments!C72),"",","&amp;""""&amp;Instruments!D$1&amp;""""&amp;":"&amp;""""&amp;TEXT(Instruments!D72,"yyyy-mm-dd")&amp;"""")</f>
        <v>#NAME?</v>
      </c>
      <c r="F71" s="0" t="e">
        <f aca="false">IF(ISBLANK(Instruments!D72),"",","&amp;""""&amp;Instruments!E$1&amp;""""&amp;":"&amp;""""&amp;TEXT(Instruments!E72,"yyyy-mm-dd")&amp;"""")</f>
        <v>#NAME?</v>
      </c>
      <c r="G71" s="0" t="e">
        <f aca="false">IF(ISBLANK(Instruments!E72),"",","&amp;""""&amp;Instruments!F$1&amp;""""&amp;":"&amp;""""&amp;Instruments!F72&amp;"""")</f>
        <v>#NAME?</v>
      </c>
      <c r="H71" s="0" t="e">
        <f aca="false">IF(ISBLANK(Instruments!F72),"",","&amp;""""&amp;Instruments!G$1&amp;""""&amp;":"&amp;""""&amp;Instruments!G72&amp;"""")</f>
        <v>#NAME?</v>
      </c>
      <c r="I71" s="0" t="str">
        <f aca="false">IF(ISBLANK(Instruments!G72),"",","&amp;""""&amp;Instruments!H$1&amp;""""&amp;":"&amp;""""&amp;Instruments!H72&amp;"""")</f>
        <v>,"params":""</v>
      </c>
      <c r="J71" s="0" t="str">
        <f aca="false">IF(ISBLANK(Instruments!I72),"",","&amp;""""&amp;Instruments!I$1&amp;""""&amp;":"&amp;""""&amp;Instruments!I72&amp;""""&amp;"}")</f>
        <v>,"tenor":"2Y"}</v>
      </c>
    </row>
    <row r="72" customFormat="false" ht="15" hidden="false" customHeight="false" outlineLevel="0" collapsed="false">
      <c r="A72" s="0" t="e">
        <f aca="false">_xlfn.CONCAT(B72:J72)</f>
        <v>#NAME?</v>
      </c>
      <c r="B72" s="0" t="str">
        <f aca="false">IF(ISBLANK(Instruments!A73),"","{"&amp;""""&amp;Instruments!A$1&amp;""""&amp;":"&amp;""""&amp;Instruments!A73&amp;"""")</f>
        <v>{"curve":"eurusd"</v>
      </c>
      <c r="C72" s="0" t="str">
        <f aca="false">IF(ISBLANK(Instruments!A73),"",","&amp;""""&amp;Instruments!B$1&amp;""""&amp;":"&amp;""""&amp;Instruments!B73&amp;"""")</f>
        <v>,"type":"FXF"</v>
      </c>
      <c r="D72" s="0" t="str">
        <f aca="false">IF(ISBLANK(Instruments!B73),"",","&amp;""""&amp;Instruments!C$1&amp;""""&amp;":"&amp;""""&amp;Instruments!C73&amp;"""")</f>
        <v>,"subtype":"FXF"</v>
      </c>
      <c r="E72" s="0" t="e">
        <f aca="false">IF(ISBLANK(Instruments!C73),"",","&amp;""""&amp;Instruments!D$1&amp;""""&amp;":"&amp;""""&amp;TEXT(Instruments!D73,"yyyy-mm-dd")&amp;"""")</f>
        <v>#NAME?</v>
      </c>
      <c r="F72" s="0" t="e">
        <f aca="false">IF(ISBLANK(Instruments!D73),"",","&amp;""""&amp;Instruments!E$1&amp;""""&amp;":"&amp;""""&amp;TEXT(Instruments!E73,"yyyy-mm-dd")&amp;"""")</f>
        <v>#NAME?</v>
      </c>
      <c r="G72" s="0" t="e">
        <f aca="false">IF(ISBLANK(Instruments!E73),"",","&amp;""""&amp;Instruments!F$1&amp;""""&amp;":"&amp;""""&amp;Instruments!F73&amp;"""")</f>
        <v>#NAME?</v>
      </c>
      <c r="H72" s="0" t="e">
        <f aca="false">IF(ISBLANK(Instruments!F73),"",","&amp;""""&amp;Instruments!G$1&amp;""""&amp;":"&amp;""""&amp;Instruments!G73&amp;"""")</f>
        <v>#NAME?</v>
      </c>
      <c r="I72" s="0" t="str">
        <f aca="false">IF(ISBLANK(Instruments!G73),"",","&amp;""""&amp;Instruments!H$1&amp;""""&amp;":"&amp;""""&amp;Instruments!H73&amp;"""")</f>
        <v>,"params":""</v>
      </c>
      <c r="J72" s="0" t="str">
        <f aca="false">IF(ISBLANK(Instruments!I73),"",","&amp;""""&amp;Instruments!I$1&amp;""""&amp;":"&amp;""""&amp;Instruments!I73&amp;""""&amp;"}")</f>
        <v>,"tenor":"30M"}</v>
      </c>
    </row>
    <row r="73" customFormat="false" ht="15" hidden="false" customHeight="false" outlineLevel="0" collapsed="false">
      <c r="A73" s="0" t="e">
        <f aca="false">_xlfn.CONCAT(B73:J73)</f>
        <v>#NAME?</v>
      </c>
      <c r="B73" s="0" t="str">
        <f aca="false">IF(ISBLANK(Instruments!A74),"","{"&amp;""""&amp;Instruments!A$1&amp;""""&amp;":"&amp;""""&amp;Instruments!A74&amp;"""")</f>
        <v>{"curve":"eurusd"</v>
      </c>
      <c r="C73" s="0" t="str">
        <f aca="false">IF(ISBLANK(Instruments!A74),"",","&amp;""""&amp;Instruments!B$1&amp;""""&amp;":"&amp;""""&amp;Instruments!B74&amp;"""")</f>
        <v>,"type":"FXF"</v>
      </c>
      <c r="D73" s="0" t="str">
        <f aca="false">IF(ISBLANK(Instruments!B74),"",","&amp;""""&amp;Instruments!C$1&amp;""""&amp;":"&amp;""""&amp;Instruments!C74&amp;"""")</f>
        <v>,"subtype":"FXF"</v>
      </c>
      <c r="E73" s="0" t="e">
        <f aca="false">IF(ISBLANK(Instruments!C74),"",","&amp;""""&amp;Instruments!D$1&amp;""""&amp;":"&amp;""""&amp;TEXT(Instruments!D74,"yyyy-mm-dd")&amp;"""")</f>
        <v>#NAME?</v>
      </c>
      <c r="F73" s="0" t="e">
        <f aca="false">IF(ISBLANK(Instruments!D74),"",","&amp;""""&amp;Instruments!E$1&amp;""""&amp;":"&amp;""""&amp;TEXT(Instruments!E74,"yyyy-mm-dd")&amp;"""")</f>
        <v>#NAME?</v>
      </c>
      <c r="G73" s="0" t="e">
        <f aca="false">IF(ISBLANK(Instruments!E74),"",","&amp;""""&amp;Instruments!F$1&amp;""""&amp;":"&amp;""""&amp;Instruments!F74&amp;"""")</f>
        <v>#NAME?</v>
      </c>
      <c r="H73" s="0" t="e">
        <f aca="false">IF(ISBLANK(Instruments!F74),"",","&amp;""""&amp;Instruments!G$1&amp;""""&amp;":"&amp;""""&amp;Instruments!G74&amp;"""")</f>
        <v>#NAME?</v>
      </c>
      <c r="I73" s="0" t="str">
        <f aca="false">IF(ISBLANK(Instruments!G74),"",","&amp;""""&amp;Instruments!H$1&amp;""""&amp;":"&amp;""""&amp;Instruments!H74&amp;"""")</f>
        <v>,"params":""</v>
      </c>
      <c r="J73" s="0" t="str">
        <f aca="false">IF(ISBLANK(Instruments!I74),"",","&amp;""""&amp;Instruments!I$1&amp;""""&amp;":"&amp;""""&amp;Instruments!I74&amp;""""&amp;"}")</f>
        <v>,"tenor":"3Y"}</v>
      </c>
    </row>
    <row r="74" customFormat="false" ht="15" hidden="false" customHeight="false" outlineLevel="0" collapsed="false">
      <c r="A74" s="0" t="e">
        <f aca="false">_xlfn.CONCAT(B74:J74)</f>
        <v>#NAME?</v>
      </c>
      <c r="B74" s="0" t="str">
        <f aca="false">IF(ISBLANK(Instruments!A75),"","{"&amp;""""&amp;Instruments!A$1&amp;""""&amp;":"&amp;""""&amp;Instruments!A75&amp;"""")</f>
        <v>{"curve":"eurusd"</v>
      </c>
      <c r="C74" s="0" t="str">
        <f aca="false">IF(ISBLANK(Instruments!A75),"",","&amp;""""&amp;Instruments!B$1&amp;""""&amp;":"&amp;""""&amp;Instruments!B75&amp;"""")</f>
        <v>,"type":"FXF"</v>
      </c>
      <c r="D74" s="0" t="str">
        <f aca="false">IF(ISBLANK(Instruments!B75),"",","&amp;""""&amp;Instruments!C$1&amp;""""&amp;":"&amp;""""&amp;Instruments!C75&amp;"""")</f>
        <v>,"subtype":"FXF"</v>
      </c>
      <c r="E74" s="0" t="e">
        <f aca="false">IF(ISBLANK(Instruments!C75),"",","&amp;""""&amp;Instruments!D$1&amp;""""&amp;":"&amp;""""&amp;TEXT(Instruments!D75,"yyyy-mm-dd")&amp;"""")</f>
        <v>#NAME?</v>
      </c>
      <c r="F74" s="0" t="e">
        <f aca="false">IF(ISBLANK(Instruments!D75),"",","&amp;""""&amp;Instruments!E$1&amp;""""&amp;":"&amp;""""&amp;TEXT(Instruments!E75,"yyyy-mm-dd")&amp;"""")</f>
        <v>#NAME?</v>
      </c>
      <c r="G74" s="0" t="e">
        <f aca="false">IF(ISBLANK(Instruments!E75),"",","&amp;""""&amp;Instruments!F$1&amp;""""&amp;":"&amp;""""&amp;Instruments!F75&amp;"""")</f>
        <v>#NAME?</v>
      </c>
      <c r="H74" s="0" t="e">
        <f aca="false">IF(ISBLANK(Instruments!F75),"",","&amp;""""&amp;Instruments!G$1&amp;""""&amp;":"&amp;""""&amp;Instruments!G75&amp;"""")</f>
        <v>#NAME?</v>
      </c>
      <c r="I74" s="0" t="str">
        <f aca="false">IF(ISBLANK(Instruments!G75),"",","&amp;""""&amp;Instruments!H$1&amp;""""&amp;":"&amp;""""&amp;Instruments!H75&amp;"""")</f>
        <v>,"params":""</v>
      </c>
      <c r="J74" s="0" t="str">
        <f aca="false">IF(ISBLANK(Instruments!I75),"",","&amp;""""&amp;Instruments!I$1&amp;""""&amp;":"&amp;""""&amp;Instruments!I75&amp;""""&amp;"}")</f>
        <v>,"tenor":"4Y"}</v>
      </c>
    </row>
    <row r="75" customFormat="false" ht="15" hidden="false" customHeight="false" outlineLevel="0" collapsed="false">
      <c r="A75" s="0" t="e">
        <f aca="false">_xlfn.CONCAT(B75:J75)</f>
        <v>#NAME?</v>
      </c>
      <c r="B75" s="0" t="str">
        <f aca="false">IF(ISBLANK(Instruments!A76),"","{"&amp;""""&amp;Instruments!A$1&amp;""""&amp;":"&amp;""""&amp;Instruments!A76&amp;"""")</f>
        <v>{"curve":"eurusd"</v>
      </c>
      <c r="C75" s="0" t="str">
        <f aca="false">IF(ISBLANK(Instruments!A76),"",","&amp;""""&amp;Instruments!B$1&amp;""""&amp;":"&amp;""""&amp;Instruments!B76&amp;"""")</f>
        <v>,"type":"FXF"</v>
      </c>
      <c r="D75" s="0" t="str">
        <f aca="false">IF(ISBLANK(Instruments!B76),"",","&amp;""""&amp;Instruments!C$1&amp;""""&amp;":"&amp;""""&amp;Instruments!C76&amp;"""")</f>
        <v>,"subtype":"FXF"</v>
      </c>
      <c r="E75" s="0" t="e">
        <f aca="false">IF(ISBLANK(Instruments!C76),"",","&amp;""""&amp;Instruments!D$1&amp;""""&amp;":"&amp;""""&amp;TEXT(Instruments!D76,"yyyy-mm-dd")&amp;"""")</f>
        <v>#NAME?</v>
      </c>
      <c r="F75" s="0" t="e">
        <f aca="false">IF(ISBLANK(Instruments!D76),"",","&amp;""""&amp;Instruments!E$1&amp;""""&amp;":"&amp;""""&amp;TEXT(Instruments!E76,"yyyy-mm-dd")&amp;"""")</f>
        <v>#NAME?</v>
      </c>
      <c r="G75" s="0" t="e">
        <f aca="false">IF(ISBLANK(Instruments!E76),"",","&amp;""""&amp;Instruments!F$1&amp;""""&amp;":"&amp;""""&amp;Instruments!F76&amp;"""")</f>
        <v>#NAME?</v>
      </c>
      <c r="H75" s="0" t="e">
        <f aca="false">IF(ISBLANK(Instruments!F76),"",","&amp;""""&amp;Instruments!G$1&amp;""""&amp;":"&amp;""""&amp;Instruments!G76&amp;"""")</f>
        <v>#NAME?</v>
      </c>
      <c r="I75" s="0" t="str">
        <f aca="false">IF(ISBLANK(Instruments!G76),"",","&amp;""""&amp;Instruments!H$1&amp;""""&amp;":"&amp;""""&amp;Instruments!H76&amp;"""")</f>
        <v>,"params":""</v>
      </c>
      <c r="J75" s="0" t="str">
        <f aca="false">IF(ISBLANK(Instruments!I76),"",","&amp;""""&amp;Instruments!I$1&amp;""""&amp;":"&amp;""""&amp;Instruments!I76&amp;""""&amp;"}")</f>
        <v>,"tenor":"5Y"}</v>
      </c>
    </row>
    <row r="76" customFormat="false" ht="15" hidden="false" customHeight="false" outlineLevel="0" collapsed="false">
      <c r="A76" s="0" t="str">
        <f aca="false">_xlfn.CONCAT(B76:J76)</f>
        <v/>
      </c>
      <c r="B76" s="0" t="str">
        <f aca="false">IF(ISBLANK(Instruments!A77),"","{"&amp;""""&amp;Instruments!A$1&amp;""""&amp;":"&amp;""""&amp;Instruments!A77&amp;"""")</f>
        <v/>
      </c>
      <c r="C76" s="0" t="str">
        <f aca="false">IF(ISBLANK(Instruments!A77),"",","&amp;""""&amp;Instruments!B$1&amp;""""&amp;":"&amp;""""&amp;Instruments!B77&amp;"""")</f>
        <v/>
      </c>
      <c r="D76" s="0" t="str">
        <f aca="false">IF(ISBLANK(Instruments!B77),"",","&amp;""""&amp;Instruments!C$1&amp;""""&amp;":"&amp;""""&amp;Instruments!C77&amp;"""")</f>
        <v/>
      </c>
      <c r="E76" s="0" t="str">
        <f aca="false">IF(ISBLANK(Instruments!C77),"",","&amp;""""&amp;Instruments!D$1&amp;""""&amp;":"&amp;""""&amp;TEXT(Instruments!D77,"yyyy-mm-dd")&amp;"""")</f>
        <v/>
      </c>
      <c r="F76" s="0" t="str">
        <f aca="false">IF(ISBLANK(Instruments!D77),"",","&amp;""""&amp;Instruments!E$1&amp;""""&amp;":"&amp;""""&amp;TEXT(Instruments!E77,"yyyy-mm-dd")&amp;"""")</f>
        <v/>
      </c>
      <c r="G76" s="0" t="str">
        <f aca="false">IF(ISBLANK(Instruments!E77),"",","&amp;""""&amp;Instruments!F$1&amp;""""&amp;":"&amp;""""&amp;Instruments!F77&amp;"""")</f>
        <v/>
      </c>
      <c r="H76" s="0" t="str">
        <f aca="false">IF(ISBLANK(Instruments!F77),"",","&amp;""""&amp;Instruments!G$1&amp;""""&amp;":"&amp;""""&amp;Instruments!G77&amp;"""")</f>
        <v/>
      </c>
      <c r="I76" s="0" t="str">
        <f aca="false">IF(ISBLANK(Instruments!G77),"",","&amp;""""&amp;Instruments!H$1&amp;""""&amp;":"&amp;""""&amp;Instruments!H77&amp;"""")</f>
        <v/>
      </c>
      <c r="J76" s="0" t="str">
        <f aca="false">IF(ISBLANK(Instruments!I77),"",","&amp;""""&amp;Instruments!I$1&amp;""""&amp;":"&amp;""""&amp;Instruments!I77&amp;""""&amp;"}")</f>
        <v/>
      </c>
    </row>
    <row r="77" customFormat="false" ht="15" hidden="false" customHeight="false" outlineLevel="0" collapsed="false">
      <c r="A77" s="0" t="str">
        <f aca="false">_xlfn.CONCAT(B77:J77)</f>
        <v/>
      </c>
      <c r="B77" s="0" t="str">
        <f aca="false">IF(ISBLANK(Instruments!A78),"","{"&amp;""""&amp;Instruments!A$1&amp;""""&amp;":"&amp;""""&amp;Instruments!A78&amp;"""")</f>
        <v/>
      </c>
      <c r="C77" s="0" t="str">
        <f aca="false">IF(ISBLANK(Instruments!A78),"",","&amp;""""&amp;Instruments!B$1&amp;""""&amp;":"&amp;""""&amp;Instruments!B78&amp;"""")</f>
        <v/>
      </c>
      <c r="D77" s="0" t="str">
        <f aca="false">IF(ISBLANK(Instruments!B78),"",","&amp;""""&amp;Instruments!C$1&amp;""""&amp;":"&amp;""""&amp;Instruments!C78&amp;"""")</f>
        <v/>
      </c>
      <c r="E77" s="0" t="str">
        <f aca="false">IF(ISBLANK(Instruments!C78),"",","&amp;""""&amp;Instruments!D$1&amp;""""&amp;":"&amp;""""&amp;TEXT(Instruments!D78,"yyyy-mm-dd")&amp;"""")</f>
        <v/>
      </c>
      <c r="F77" s="0" t="str">
        <f aca="false">IF(ISBLANK(Instruments!D78),"",","&amp;""""&amp;Instruments!E$1&amp;""""&amp;":"&amp;""""&amp;TEXT(Instruments!E78,"yyyy-mm-dd")&amp;"""")</f>
        <v/>
      </c>
      <c r="G77" s="0" t="str">
        <f aca="false">IF(ISBLANK(Instruments!E78),"",","&amp;""""&amp;Instruments!F$1&amp;""""&amp;":"&amp;""""&amp;Instruments!F78&amp;"""")</f>
        <v/>
      </c>
      <c r="H77" s="0" t="str">
        <f aca="false">IF(ISBLANK(Instruments!F78),"",","&amp;""""&amp;Instruments!G$1&amp;""""&amp;":"&amp;""""&amp;Instruments!G78&amp;"""")</f>
        <v/>
      </c>
      <c r="I77" s="0" t="str">
        <f aca="false">IF(ISBLANK(Instruments!G78),"",","&amp;""""&amp;Instruments!H$1&amp;""""&amp;":"&amp;""""&amp;Instruments!H78&amp;"""")</f>
        <v/>
      </c>
      <c r="J77" s="0" t="str">
        <f aca="false">IF(ISBLANK(Instruments!I78),"",","&amp;""""&amp;Instruments!I$1&amp;""""&amp;":"&amp;""""&amp;Instruments!I78&amp;""""&amp;"}")</f>
        <v/>
      </c>
    </row>
    <row r="78" customFormat="false" ht="15" hidden="false" customHeight="false" outlineLevel="0" collapsed="false">
      <c r="A78" s="0" t="str">
        <f aca="false">_xlfn.CONCAT(B78:J78)</f>
        <v/>
      </c>
      <c r="B78" s="0" t="str">
        <f aca="false">IF(ISBLANK(Instruments!A79),"","{"&amp;""""&amp;Instruments!A$1&amp;""""&amp;":"&amp;""""&amp;Instruments!A79&amp;"""")</f>
        <v/>
      </c>
      <c r="C78" s="0" t="str">
        <f aca="false">IF(ISBLANK(Instruments!A79),"",","&amp;""""&amp;Instruments!B$1&amp;""""&amp;":"&amp;""""&amp;Instruments!B79&amp;"""")</f>
        <v/>
      </c>
      <c r="D78" s="0" t="str">
        <f aca="false">IF(ISBLANK(Instruments!B79),"",","&amp;""""&amp;Instruments!C$1&amp;""""&amp;":"&amp;""""&amp;Instruments!C79&amp;"""")</f>
        <v/>
      </c>
      <c r="E78" s="0" t="str">
        <f aca="false">IF(ISBLANK(Instruments!C79),"",","&amp;""""&amp;Instruments!D$1&amp;""""&amp;":"&amp;""""&amp;TEXT(Instruments!D79,"yyyy-mm-dd")&amp;"""")</f>
        <v/>
      </c>
      <c r="F78" s="0" t="str">
        <f aca="false">IF(ISBLANK(Instruments!D79),"",","&amp;""""&amp;Instruments!E$1&amp;""""&amp;":"&amp;""""&amp;TEXT(Instruments!E79,"yyyy-mm-dd")&amp;"""")</f>
        <v/>
      </c>
      <c r="G78" s="0" t="str">
        <f aca="false">IF(ISBLANK(Instruments!E79),"",","&amp;""""&amp;Instruments!F$1&amp;""""&amp;":"&amp;""""&amp;Instruments!F79&amp;"""")</f>
        <v/>
      </c>
      <c r="H78" s="0" t="str">
        <f aca="false">IF(ISBLANK(Instruments!F79),"",","&amp;""""&amp;Instruments!G$1&amp;""""&amp;":"&amp;""""&amp;Instruments!G79&amp;"""")</f>
        <v/>
      </c>
      <c r="I78" s="0" t="str">
        <f aca="false">IF(ISBLANK(Instruments!G79),"",","&amp;""""&amp;Instruments!H$1&amp;""""&amp;":"&amp;""""&amp;Instruments!H79&amp;"""")</f>
        <v/>
      </c>
      <c r="J78" s="0" t="str">
        <f aca="false">IF(ISBLANK(Instruments!I79),"",","&amp;""""&amp;Instruments!I$1&amp;""""&amp;":"&amp;""""&amp;Instruments!I79&amp;""""&amp;"}")</f>
        <v/>
      </c>
    </row>
    <row r="79" customFormat="false" ht="15" hidden="false" customHeight="false" outlineLevel="0" collapsed="false">
      <c r="A79" s="0" t="str">
        <f aca="false">_xlfn.CONCAT(B79:J79)</f>
        <v/>
      </c>
      <c r="B79" s="0" t="str">
        <f aca="false">IF(ISBLANK(Instruments!A80),"","{"&amp;""""&amp;Instruments!A$1&amp;""""&amp;":"&amp;""""&amp;Instruments!A80&amp;"""")</f>
        <v/>
      </c>
      <c r="C79" s="0" t="str">
        <f aca="false">IF(ISBLANK(Instruments!A80),"",","&amp;""""&amp;Instruments!B$1&amp;""""&amp;":"&amp;""""&amp;Instruments!B80&amp;"""")</f>
        <v/>
      </c>
      <c r="D79" s="0" t="str">
        <f aca="false">IF(ISBLANK(Instruments!B80),"",","&amp;""""&amp;Instruments!C$1&amp;""""&amp;":"&amp;""""&amp;Instruments!C80&amp;"""")</f>
        <v/>
      </c>
      <c r="E79" s="0" t="str">
        <f aca="false">IF(ISBLANK(Instruments!C80),"",","&amp;""""&amp;Instruments!D$1&amp;""""&amp;":"&amp;""""&amp;TEXT(Instruments!D80,"yyyy-mm-dd")&amp;"""")</f>
        <v/>
      </c>
      <c r="F79" s="0" t="str">
        <f aca="false">IF(ISBLANK(Instruments!D80),"",","&amp;""""&amp;Instruments!E$1&amp;""""&amp;":"&amp;""""&amp;TEXT(Instruments!E80,"yyyy-mm-dd")&amp;"""")</f>
        <v/>
      </c>
      <c r="G79" s="0" t="str">
        <f aca="false">IF(ISBLANK(Instruments!E80),"",","&amp;""""&amp;Instruments!F$1&amp;""""&amp;":"&amp;""""&amp;Instruments!F80&amp;"""")</f>
        <v/>
      </c>
      <c r="H79" s="0" t="str">
        <f aca="false">IF(ISBLANK(Instruments!F80),"",","&amp;""""&amp;Instruments!G$1&amp;""""&amp;":"&amp;""""&amp;Instruments!G80&amp;"""")</f>
        <v/>
      </c>
      <c r="I79" s="0" t="str">
        <f aca="false">IF(ISBLANK(Instruments!G80),"",","&amp;""""&amp;Instruments!H$1&amp;""""&amp;":"&amp;""""&amp;Instruments!H80&amp;"""")</f>
        <v/>
      </c>
      <c r="J79" s="0" t="str">
        <f aca="false">IF(ISBLANK(Instruments!I80),"",","&amp;""""&amp;Instruments!I$1&amp;""""&amp;":"&amp;""""&amp;Instruments!I80&amp;""""&amp;"}")</f>
        <v/>
      </c>
    </row>
    <row r="80" customFormat="false" ht="15" hidden="false" customHeight="false" outlineLevel="0" collapsed="false">
      <c r="A80" s="0" t="str">
        <f aca="false">_xlfn.CONCAT(B80:J80)</f>
        <v/>
      </c>
      <c r="B80" s="0" t="str">
        <f aca="false">IF(ISBLANK(Instruments!A81),"","{"&amp;""""&amp;Instruments!A$1&amp;""""&amp;":"&amp;""""&amp;Instruments!A81&amp;"""")</f>
        <v/>
      </c>
      <c r="C80" s="0" t="str">
        <f aca="false">IF(ISBLANK(Instruments!A81),"",","&amp;""""&amp;Instruments!B$1&amp;""""&amp;":"&amp;""""&amp;Instruments!B81&amp;"""")</f>
        <v/>
      </c>
      <c r="D80" s="0" t="str">
        <f aca="false">IF(ISBLANK(Instruments!B81),"",","&amp;""""&amp;Instruments!C$1&amp;""""&amp;":"&amp;""""&amp;Instruments!C81&amp;"""")</f>
        <v/>
      </c>
      <c r="E80" s="0" t="str">
        <f aca="false">IF(ISBLANK(Instruments!C81),"",","&amp;""""&amp;Instruments!D$1&amp;""""&amp;":"&amp;""""&amp;TEXT(Instruments!D81,"yyyy-mm-dd")&amp;"""")</f>
        <v/>
      </c>
      <c r="F80" s="0" t="str">
        <f aca="false">IF(ISBLANK(Instruments!D81),"",","&amp;""""&amp;Instruments!E$1&amp;""""&amp;":"&amp;""""&amp;TEXT(Instruments!E81,"yyyy-mm-dd")&amp;"""")</f>
        <v/>
      </c>
      <c r="G80" s="0" t="str">
        <f aca="false">IF(ISBLANK(Instruments!E81),"",","&amp;""""&amp;Instruments!F$1&amp;""""&amp;":"&amp;""""&amp;Instruments!F81&amp;"""")</f>
        <v/>
      </c>
      <c r="H80" s="0" t="str">
        <f aca="false">IF(ISBLANK(Instruments!F81),"",","&amp;""""&amp;Instruments!G$1&amp;""""&amp;":"&amp;""""&amp;Instruments!G81&amp;"""")</f>
        <v/>
      </c>
      <c r="I80" s="0" t="str">
        <f aca="false">IF(ISBLANK(Instruments!G81),"",","&amp;""""&amp;Instruments!H$1&amp;""""&amp;":"&amp;""""&amp;Instruments!H81&amp;"""")</f>
        <v/>
      </c>
      <c r="J80" s="0" t="str">
        <f aca="false">IF(ISBLANK(Instruments!I81),"",","&amp;""""&amp;Instruments!I$1&amp;""""&amp;":"&amp;""""&amp;Instruments!I81&amp;""""&amp;"}")</f>
        <v/>
      </c>
    </row>
    <row r="81" customFormat="false" ht="15" hidden="false" customHeight="false" outlineLevel="0" collapsed="false">
      <c r="A81" s="0" t="str">
        <f aca="false">_xlfn.CONCAT(B81:J81)</f>
        <v/>
      </c>
      <c r="B81" s="0" t="str">
        <f aca="false">IF(ISBLANK(Instruments!A82),"","{"&amp;""""&amp;Instruments!A$1&amp;""""&amp;":"&amp;""""&amp;Instruments!A82&amp;"""")</f>
        <v/>
      </c>
      <c r="C81" s="0" t="str">
        <f aca="false">IF(ISBLANK(Instruments!A82),"",","&amp;""""&amp;Instruments!B$1&amp;""""&amp;":"&amp;""""&amp;Instruments!B82&amp;"""")</f>
        <v/>
      </c>
      <c r="D81" s="0" t="str">
        <f aca="false">IF(ISBLANK(Instruments!B82),"",","&amp;""""&amp;Instruments!C$1&amp;""""&amp;":"&amp;""""&amp;Instruments!C82&amp;"""")</f>
        <v/>
      </c>
      <c r="E81" s="0" t="str">
        <f aca="false">IF(ISBLANK(Instruments!C82),"",","&amp;""""&amp;Instruments!D$1&amp;""""&amp;":"&amp;""""&amp;TEXT(Instruments!D82,"yyyy-mm-dd")&amp;"""")</f>
        <v/>
      </c>
      <c r="F81" s="0" t="str">
        <f aca="false">IF(ISBLANK(Instruments!D82),"",","&amp;""""&amp;Instruments!E$1&amp;""""&amp;":"&amp;""""&amp;TEXT(Instruments!E82,"yyyy-mm-dd")&amp;"""")</f>
        <v/>
      </c>
      <c r="G81" s="0" t="str">
        <f aca="false">IF(ISBLANK(Instruments!E82),"",","&amp;""""&amp;Instruments!F$1&amp;""""&amp;":"&amp;""""&amp;Instruments!F82&amp;"""")</f>
        <v/>
      </c>
      <c r="H81" s="0" t="str">
        <f aca="false">IF(ISBLANK(Instruments!F82),"",","&amp;""""&amp;Instruments!G$1&amp;""""&amp;":"&amp;""""&amp;Instruments!G82&amp;"""")</f>
        <v/>
      </c>
      <c r="I81" s="0" t="str">
        <f aca="false">IF(ISBLANK(Instruments!G82),"",","&amp;""""&amp;Instruments!H$1&amp;""""&amp;":"&amp;""""&amp;Instruments!H82&amp;"""")</f>
        <v/>
      </c>
      <c r="J81" s="0" t="str">
        <f aca="false">IF(ISBLANK(Instruments!I82),"",","&amp;""""&amp;Instruments!I$1&amp;""""&amp;":"&amp;""""&amp;Instruments!I82&amp;""""&amp;"}")</f>
        <v/>
      </c>
    </row>
    <row r="82" customFormat="false" ht="15" hidden="false" customHeight="false" outlineLevel="0" collapsed="false">
      <c r="A82" s="0" t="str">
        <f aca="false">_xlfn.CONCAT(B82:J82)</f>
        <v/>
      </c>
      <c r="B82" s="0" t="str">
        <f aca="false">IF(ISBLANK(Instruments!A83),"","{"&amp;""""&amp;Instruments!A$1&amp;""""&amp;":"&amp;""""&amp;Instruments!A83&amp;"""")</f>
        <v/>
      </c>
      <c r="C82" s="0" t="str">
        <f aca="false">IF(ISBLANK(Instruments!A83),"",","&amp;""""&amp;Instruments!B$1&amp;""""&amp;":"&amp;""""&amp;Instruments!B83&amp;"""")</f>
        <v/>
      </c>
      <c r="D82" s="0" t="str">
        <f aca="false">IF(ISBLANK(Instruments!B83),"",","&amp;""""&amp;Instruments!C$1&amp;""""&amp;":"&amp;""""&amp;Instruments!C83&amp;"""")</f>
        <v/>
      </c>
      <c r="E82" s="0" t="str">
        <f aca="false">IF(ISBLANK(Instruments!C83),"",","&amp;""""&amp;Instruments!D$1&amp;""""&amp;":"&amp;""""&amp;TEXT(Instruments!D83,"yyyy-mm-dd")&amp;"""")</f>
        <v/>
      </c>
      <c r="F82" s="0" t="str">
        <f aca="false">IF(ISBLANK(Instruments!D83),"",","&amp;""""&amp;Instruments!E$1&amp;""""&amp;":"&amp;""""&amp;TEXT(Instruments!E83,"yyyy-mm-dd")&amp;"""")</f>
        <v/>
      </c>
      <c r="G82" s="0" t="str">
        <f aca="false">IF(ISBLANK(Instruments!E83),"",","&amp;""""&amp;Instruments!F$1&amp;""""&amp;":"&amp;""""&amp;Instruments!F83&amp;"""")</f>
        <v/>
      </c>
      <c r="H82" s="0" t="str">
        <f aca="false">IF(ISBLANK(Instruments!F83),"",","&amp;""""&amp;Instruments!G$1&amp;""""&amp;":"&amp;""""&amp;Instruments!G83&amp;"""")</f>
        <v/>
      </c>
      <c r="I82" s="0" t="str">
        <f aca="false">IF(ISBLANK(Instruments!G83),"",","&amp;""""&amp;Instruments!H$1&amp;""""&amp;":"&amp;""""&amp;Instruments!H83&amp;"""")</f>
        <v/>
      </c>
      <c r="J82" s="0" t="str">
        <f aca="false">IF(ISBLANK(Instruments!I83),"",","&amp;""""&amp;Instruments!I$1&amp;""""&amp;":"&amp;""""&amp;Instruments!I83&amp;""""&amp;"}")</f>
        <v/>
      </c>
    </row>
    <row r="83" customFormat="false" ht="15" hidden="false" customHeight="false" outlineLevel="0" collapsed="false">
      <c r="A83" s="0" t="str">
        <f aca="false">_xlfn.CONCAT(B83:J83)</f>
        <v/>
      </c>
      <c r="B83" s="0" t="str">
        <f aca="false">IF(ISBLANK(Instruments!A84),"","{"&amp;""""&amp;Instruments!A$1&amp;""""&amp;":"&amp;""""&amp;Instruments!A84&amp;"""")</f>
        <v/>
      </c>
      <c r="C83" s="0" t="str">
        <f aca="false">IF(ISBLANK(Instruments!A84),"",","&amp;""""&amp;Instruments!B$1&amp;""""&amp;":"&amp;""""&amp;Instruments!B84&amp;"""")</f>
        <v/>
      </c>
      <c r="D83" s="0" t="str">
        <f aca="false">IF(ISBLANK(Instruments!B84),"",","&amp;""""&amp;Instruments!C$1&amp;""""&amp;":"&amp;""""&amp;Instruments!C84&amp;"""")</f>
        <v/>
      </c>
      <c r="E83" s="0" t="str">
        <f aca="false">IF(ISBLANK(Instruments!C84),"",","&amp;""""&amp;Instruments!D$1&amp;""""&amp;":"&amp;""""&amp;TEXT(Instruments!D84,"yyyy-mm-dd")&amp;"""")</f>
        <v/>
      </c>
      <c r="F83" s="0" t="str">
        <f aca="false">IF(ISBLANK(Instruments!D84),"",","&amp;""""&amp;Instruments!E$1&amp;""""&amp;":"&amp;""""&amp;TEXT(Instruments!E84,"yyyy-mm-dd")&amp;"""")</f>
        <v/>
      </c>
      <c r="G83" s="0" t="str">
        <f aca="false">IF(ISBLANK(Instruments!E84),"",","&amp;""""&amp;Instruments!F$1&amp;""""&amp;":"&amp;""""&amp;Instruments!F84&amp;"""")</f>
        <v/>
      </c>
      <c r="H83" s="0" t="str">
        <f aca="false">IF(ISBLANK(Instruments!F84),"",","&amp;""""&amp;Instruments!G$1&amp;""""&amp;":"&amp;""""&amp;Instruments!G84&amp;"""")</f>
        <v/>
      </c>
      <c r="I83" s="0" t="str">
        <f aca="false">IF(ISBLANK(Instruments!G84),"",","&amp;""""&amp;Instruments!H$1&amp;""""&amp;":"&amp;""""&amp;Instruments!H84&amp;"""")</f>
        <v/>
      </c>
      <c r="J83" s="0" t="str">
        <f aca="false">IF(ISBLANK(Instruments!I84),"",","&amp;""""&amp;Instruments!I$1&amp;""""&amp;":"&amp;""""&amp;Instruments!I84&amp;""""&amp;"}")</f>
        <v/>
      </c>
    </row>
    <row r="84" customFormat="false" ht="15" hidden="false" customHeight="false" outlineLevel="0" collapsed="false">
      <c r="A84" s="0" t="str">
        <f aca="false">_xlfn.CONCAT(B84:J84)</f>
        <v/>
      </c>
      <c r="B84" s="0" t="str">
        <f aca="false">IF(ISBLANK(Instruments!A85),"","{"&amp;""""&amp;Instruments!A$1&amp;""""&amp;":"&amp;""""&amp;Instruments!A85&amp;"""")</f>
        <v/>
      </c>
      <c r="C84" s="0" t="str">
        <f aca="false">IF(ISBLANK(Instruments!A85),"",","&amp;""""&amp;Instruments!B$1&amp;""""&amp;":"&amp;""""&amp;Instruments!B85&amp;"""")</f>
        <v/>
      </c>
      <c r="D84" s="0" t="str">
        <f aca="false">IF(ISBLANK(Instruments!B85),"",","&amp;""""&amp;Instruments!C$1&amp;""""&amp;":"&amp;""""&amp;Instruments!C85&amp;"""")</f>
        <v/>
      </c>
      <c r="E84" s="0" t="str">
        <f aca="false">IF(ISBLANK(Instruments!C85),"",","&amp;""""&amp;Instruments!D$1&amp;""""&amp;":"&amp;""""&amp;TEXT(Instruments!D85,"yyyy-mm-dd")&amp;"""")</f>
        <v/>
      </c>
      <c r="F84" s="0" t="str">
        <f aca="false">IF(ISBLANK(Instruments!D85),"",","&amp;""""&amp;Instruments!E$1&amp;""""&amp;":"&amp;""""&amp;TEXT(Instruments!E85,"yyyy-mm-dd")&amp;"""")</f>
        <v/>
      </c>
      <c r="G84" s="0" t="str">
        <f aca="false">IF(ISBLANK(Instruments!E85),"",","&amp;""""&amp;Instruments!F$1&amp;""""&amp;":"&amp;""""&amp;Instruments!F85&amp;"""")</f>
        <v/>
      </c>
      <c r="H84" s="0" t="str">
        <f aca="false">IF(ISBLANK(Instruments!F85),"",","&amp;""""&amp;Instruments!G$1&amp;""""&amp;":"&amp;""""&amp;Instruments!G85&amp;"""")</f>
        <v/>
      </c>
      <c r="I84" s="0" t="str">
        <f aca="false">IF(ISBLANK(Instruments!G85),"",","&amp;""""&amp;Instruments!H$1&amp;""""&amp;":"&amp;""""&amp;Instruments!H85&amp;"""")</f>
        <v/>
      </c>
      <c r="J84" s="0" t="str">
        <f aca="false">IF(ISBLANK(Instruments!I85),"",","&amp;""""&amp;Instruments!I$1&amp;""""&amp;":"&amp;""""&amp;Instruments!I85&amp;""""&amp;"}")</f>
        <v/>
      </c>
    </row>
    <row r="85" customFormat="false" ht="15" hidden="false" customHeight="false" outlineLevel="0" collapsed="false">
      <c r="A85" s="0" t="str">
        <f aca="false">_xlfn.CONCAT(B85:J85)</f>
        <v/>
      </c>
      <c r="B85" s="0" t="str">
        <f aca="false">IF(ISBLANK(Instruments!A86),"","{"&amp;""""&amp;Instruments!A$1&amp;""""&amp;":"&amp;""""&amp;Instruments!A86&amp;"""")</f>
        <v/>
      </c>
      <c r="C85" s="0" t="str">
        <f aca="false">IF(ISBLANK(Instruments!A86),"",","&amp;""""&amp;Instruments!B$1&amp;""""&amp;":"&amp;""""&amp;Instruments!B86&amp;"""")</f>
        <v/>
      </c>
      <c r="D85" s="0" t="str">
        <f aca="false">IF(ISBLANK(Instruments!B86),"",","&amp;""""&amp;Instruments!C$1&amp;""""&amp;":"&amp;""""&amp;Instruments!C86&amp;"""")</f>
        <v/>
      </c>
      <c r="E85" s="0" t="str">
        <f aca="false">IF(ISBLANK(Instruments!C86),"",","&amp;""""&amp;Instruments!D$1&amp;""""&amp;":"&amp;""""&amp;TEXT(Instruments!D86,"yyyy-mm-dd")&amp;"""")</f>
        <v/>
      </c>
      <c r="F85" s="0" t="str">
        <f aca="false">IF(ISBLANK(Instruments!D86),"",","&amp;""""&amp;Instruments!E$1&amp;""""&amp;":"&amp;""""&amp;TEXT(Instruments!E86,"yyyy-mm-dd")&amp;"""")</f>
        <v/>
      </c>
      <c r="G85" s="0" t="str">
        <f aca="false">IF(ISBLANK(Instruments!E86),"",","&amp;""""&amp;Instruments!F$1&amp;""""&amp;":"&amp;""""&amp;Instruments!F86&amp;"""")</f>
        <v/>
      </c>
      <c r="H85" s="0" t="str">
        <f aca="false">IF(ISBLANK(Instruments!F86),"",","&amp;""""&amp;Instruments!G$1&amp;""""&amp;":"&amp;""""&amp;Instruments!G86&amp;"""")</f>
        <v/>
      </c>
      <c r="I85" s="0" t="str">
        <f aca="false">IF(ISBLANK(Instruments!G86),"",","&amp;""""&amp;Instruments!H$1&amp;""""&amp;":"&amp;""""&amp;Instruments!H86&amp;"""")</f>
        <v/>
      </c>
      <c r="J85" s="0" t="str">
        <f aca="false">IF(ISBLANK(Instruments!I86),"",","&amp;""""&amp;Instruments!I$1&amp;""""&amp;":"&amp;""""&amp;Instruments!I86&amp;""""&amp;"}")</f>
        <v/>
      </c>
    </row>
    <row r="86" customFormat="false" ht="15" hidden="false" customHeight="false" outlineLevel="0" collapsed="false">
      <c r="A86" s="0" t="str">
        <f aca="false">_xlfn.CONCAT(B86:J86)</f>
        <v/>
      </c>
      <c r="B86" s="0" t="str">
        <f aca="false">IF(ISBLANK(Instruments!A87),"","{"&amp;""""&amp;Instruments!A$1&amp;""""&amp;":"&amp;""""&amp;Instruments!A87&amp;"""")</f>
        <v/>
      </c>
      <c r="C86" s="0" t="str">
        <f aca="false">IF(ISBLANK(Instruments!A87),"",","&amp;""""&amp;Instruments!B$1&amp;""""&amp;":"&amp;""""&amp;Instruments!B87&amp;"""")</f>
        <v/>
      </c>
      <c r="D86" s="0" t="str">
        <f aca="false">IF(ISBLANK(Instruments!B87),"",","&amp;""""&amp;Instruments!C$1&amp;""""&amp;":"&amp;""""&amp;Instruments!C87&amp;"""")</f>
        <v/>
      </c>
      <c r="E86" s="0" t="str">
        <f aca="false">IF(ISBLANK(Instruments!C87),"",","&amp;""""&amp;Instruments!D$1&amp;""""&amp;":"&amp;""""&amp;TEXT(Instruments!D87,"yyyy-mm-dd")&amp;"""")</f>
        <v/>
      </c>
      <c r="F86" s="0" t="str">
        <f aca="false">IF(ISBLANK(Instruments!D87),"",","&amp;""""&amp;Instruments!E$1&amp;""""&amp;":"&amp;""""&amp;TEXT(Instruments!E87,"yyyy-mm-dd")&amp;"""")</f>
        <v/>
      </c>
      <c r="G86" s="0" t="str">
        <f aca="false">IF(ISBLANK(Instruments!E87),"",","&amp;""""&amp;Instruments!F$1&amp;""""&amp;":"&amp;""""&amp;Instruments!F87&amp;"""")</f>
        <v/>
      </c>
      <c r="H86" s="0" t="str">
        <f aca="false">IF(ISBLANK(Instruments!F87),"",","&amp;""""&amp;Instruments!G$1&amp;""""&amp;":"&amp;""""&amp;Instruments!G87&amp;"""")</f>
        <v/>
      </c>
      <c r="I86" s="0" t="str">
        <f aca="false">IF(ISBLANK(Instruments!G87),"",","&amp;""""&amp;Instruments!H$1&amp;""""&amp;":"&amp;""""&amp;Instruments!H87&amp;"""")</f>
        <v/>
      </c>
      <c r="J86" s="0" t="str">
        <f aca="false">IF(ISBLANK(Instruments!I87),"",","&amp;""""&amp;Instruments!I$1&amp;""""&amp;":"&amp;""""&amp;Instruments!I87&amp;""""&amp;"}")</f>
        <v/>
      </c>
    </row>
    <row r="87" customFormat="false" ht="15" hidden="false" customHeight="false" outlineLevel="0" collapsed="false">
      <c r="A87" s="0" t="str">
        <f aca="false">_xlfn.CONCAT(B87:J87)</f>
        <v/>
      </c>
      <c r="B87" s="0" t="str">
        <f aca="false">IF(ISBLANK(Instruments!A88),"","{"&amp;""""&amp;Instruments!A$1&amp;""""&amp;":"&amp;""""&amp;Instruments!A88&amp;"""")</f>
        <v/>
      </c>
      <c r="C87" s="0" t="str">
        <f aca="false">IF(ISBLANK(Instruments!A88),"",","&amp;""""&amp;Instruments!B$1&amp;""""&amp;":"&amp;""""&amp;Instruments!B88&amp;"""")</f>
        <v/>
      </c>
      <c r="D87" s="0" t="str">
        <f aca="false">IF(ISBLANK(Instruments!B88),"",","&amp;""""&amp;Instruments!C$1&amp;""""&amp;":"&amp;""""&amp;Instruments!C88&amp;"""")</f>
        <v/>
      </c>
      <c r="E87" s="0" t="str">
        <f aca="false">IF(ISBLANK(Instruments!C88),"",","&amp;""""&amp;Instruments!D$1&amp;""""&amp;":"&amp;""""&amp;TEXT(Instruments!D88,"yyyy-mm-dd")&amp;"""")</f>
        <v/>
      </c>
      <c r="F87" s="0" t="str">
        <f aca="false">IF(ISBLANK(Instruments!D88),"",","&amp;""""&amp;Instruments!E$1&amp;""""&amp;":"&amp;""""&amp;TEXT(Instruments!E88,"yyyy-mm-dd")&amp;"""")</f>
        <v/>
      </c>
      <c r="G87" s="0" t="str">
        <f aca="false">IF(ISBLANK(Instruments!E88),"",","&amp;""""&amp;Instruments!F$1&amp;""""&amp;":"&amp;""""&amp;Instruments!F88&amp;"""")</f>
        <v/>
      </c>
      <c r="H87" s="0" t="str">
        <f aca="false">IF(ISBLANK(Instruments!F88),"",","&amp;""""&amp;Instruments!G$1&amp;""""&amp;":"&amp;""""&amp;Instruments!G88&amp;"""")</f>
        <v/>
      </c>
      <c r="I87" s="0" t="str">
        <f aca="false">IF(ISBLANK(Instruments!G88),"",","&amp;""""&amp;Instruments!H$1&amp;""""&amp;":"&amp;""""&amp;Instruments!H88&amp;"""")</f>
        <v/>
      </c>
      <c r="J87" s="0" t="str">
        <f aca="false">IF(ISBLANK(Instruments!I88),"",","&amp;""""&amp;Instruments!I$1&amp;""""&amp;":"&amp;""""&amp;Instruments!I88&amp;""""&amp;"}")</f>
        <v/>
      </c>
    </row>
    <row r="88" customFormat="false" ht="15" hidden="false" customHeight="false" outlineLevel="0" collapsed="false">
      <c r="A88" s="0" t="str">
        <f aca="false">_xlfn.CONCAT(B88:J88)</f>
        <v/>
      </c>
      <c r="B88" s="0" t="str">
        <f aca="false">IF(ISBLANK(Instruments!A89),"","{"&amp;""""&amp;Instruments!A$1&amp;""""&amp;":"&amp;""""&amp;Instruments!A89&amp;"""")</f>
        <v/>
      </c>
      <c r="C88" s="0" t="str">
        <f aca="false">IF(ISBLANK(Instruments!A89),"",","&amp;""""&amp;Instruments!B$1&amp;""""&amp;":"&amp;""""&amp;Instruments!B89&amp;"""")</f>
        <v/>
      </c>
      <c r="D88" s="0" t="str">
        <f aca="false">IF(ISBLANK(Instruments!B89),"",","&amp;""""&amp;Instruments!C$1&amp;""""&amp;":"&amp;""""&amp;Instruments!C89&amp;"""")</f>
        <v/>
      </c>
      <c r="E88" s="0" t="str">
        <f aca="false">IF(ISBLANK(Instruments!C89),"",","&amp;""""&amp;Instruments!D$1&amp;""""&amp;":"&amp;""""&amp;TEXT(Instruments!D89,"yyyy-mm-dd")&amp;"""")</f>
        <v/>
      </c>
      <c r="F88" s="0" t="str">
        <f aca="false">IF(ISBLANK(Instruments!D89),"",","&amp;""""&amp;Instruments!E$1&amp;""""&amp;":"&amp;""""&amp;TEXT(Instruments!E89,"yyyy-mm-dd")&amp;"""")</f>
        <v/>
      </c>
      <c r="G88" s="0" t="str">
        <f aca="false">IF(ISBLANK(Instruments!E89),"",","&amp;""""&amp;Instruments!F$1&amp;""""&amp;":"&amp;""""&amp;Instruments!F89&amp;"""")</f>
        <v/>
      </c>
      <c r="H88" s="0" t="str">
        <f aca="false">IF(ISBLANK(Instruments!F89),"",","&amp;""""&amp;Instruments!G$1&amp;""""&amp;":"&amp;""""&amp;Instruments!G89&amp;"""")</f>
        <v/>
      </c>
      <c r="I88" s="0" t="str">
        <f aca="false">IF(ISBLANK(Instruments!G89),"",","&amp;""""&amp;Instruments!H$1&amp;""""&amp;":"&amp;""""&amp;Instruments!H89&amp;"""")</f>
        <v/>
      </c>
      <c r="J88" s="0" t="str">
        <f aca="false">IF(ISBLANK(Instruments!I89),"",","&amp;""""&amp;Instruments!I$1&amp;""""&amp;":"&amp;""""&amp;Instruments!I89&amp;""""&amp;"}")</f>
        <v/>
      </c>
    </row>
    <row r="89" customFormat="false" ht="15" hidden="false" customHeight="false" outlineLevel="0" collapsed="false">
      <c r="A89" s="0" t="str">
        <f aca="false">_xlfn.CONCAT(B89:J89)</f>
        <v/>
      </c>
      <c r="B89" s="0" t="str">
        <f aca="false">IF(ISBLANK(Instruments!A90),"","{"&amp;""""&amp;Instruments!A$1&amp;""""&amp;":"&amp;""""&amp;Instruments!A90&amp;"""")</f>
        <v/>
      </c>
      <c r="C89" s="0" t="str">
        <f aca="false">IF(ISBLANK(Instruments!A90),"",","&amp;""""&amp;Instruments!B$1&amp;""""&amp;":"&amp;""""&amp;Instruments!B90&amp;"""")</f>
        <v/>
      </c>
      <c r="D89" s="0" t="str">
        <f aca="false">IF(ISBLANK(Instruments!B90),"",","&amp;""""&amp;Instruments!C$1&amp;""""&amp;":"&amp;""""&amp;Instruments!C90&amp;"""")</f>
        <v/>
      </c>
      <c r="E89" s="0" t="str">
        <f aca="false">IF(ISBLANK(Instruments!C90),"",","&amp;""""&amp;Instruments!D$1&amp;""""&amp;":"&amp;""""&amp;TEXT(Instruments!D90,"yyyy-mm-dd")&amp;"""")</f>
        <v/>
      </c>
      <c r="F89" s="0" t="str">
        <f aca="false">IF(ISBLANK(Instruments!D90),"",","&amp;""""&amp;Instruments!E$1&amp;""""&amp;":"&amp;""""&amp;TEXT(Instruments!E90,"yyyy-mm-dd")&amp;"""")</f>
        <v/>
      </c>
      <c r="G89" s="0" t="str">
        <f aca="false">IF(ISBLANK(Instruments!E90),"",","&amp;""""&amp;Instruments!F$1&amp;""""&amp;":"&amp;""""&amp;Instruments!F90&amp;"""")</f>
        <v/>
      </c>
      <c r="H89" s="0" t="str">
        <f aca="false">IF(ISBLANK(Instruments!F90),"",","&amp;""""&amp;Instruments!G$1&amp;""""&amp;":"&amp;""""&amp;Instruments!G90&amp;"""")</f>
        <v/>
      </c>
      <c r="I89" s="0" t="str">
        <f aca="false">IF(ISBLANK(Instruments!G90),"",","&amp;""""&amp;Instruments!H$1&amp;""""&amp;":"&amp;""""&amp;Instruments!H90&amp;"""")</f>
        <v/>
      </c>
      <c r="J89" s="0" t="str">
        <f aca="false">IF(ISBLANK(Instruments!I90),"",","&amp;""""&amp;Instruments!I$1&amp;""""&amp;":"&amp;""""&amp;Instruments!I90&amp;""""&amp;"}")</f>
        <v/>
      </c>
    </row>
    <row r="90" customFormat="false" ht="15" hidden="false" customHeight="false" outlineLevel="0" collapsed="false">
      <c r="A90" s="0" t="str">
        <f aca="false">_xlfn.CONCAT(B90:J90)</f>
        <v/>
      </c>
      <c r="B90" s="0" t="str">
        <f aca="false">IF(ISBLANK(Instruments!A91),"","{"&amp;""""&amp;Instruments!A$1&amp;""""&amp;":"&amp;""""&amp;Instruments!A91&amp;"""")</f>
        <v/>
      </c>
      <c r="C90" s="0" t="str">
        <f aca="false">IF(ISBLANK(Instruments!A91),"",","&amp;""""&amp;Instruments!B$1&amp;""""&amp;":"&amp;""""&amp;Instruments!B91&amp;"""")</f>
        <v/>
      </c>
      <c r="D90" s="0" t="str">
        <f aca="false">IF(ISBLANK(Instruments!B91),"",","&amp;""""&amp;Instruments!C$1&amp;""""&amp;":"&amp;""""&amp;Instruments!C91&amp;"""")</f>
        <v/>
      </c>
      <c r="E90" s="0" t="str">
        <f aca="false">IF(ISBLANK(Instruments!C91),"",","&amp;""""&amp;Instruments!D$1&amp;""""&amp;":"&amp;""""&amp;TEXT(Instruments!D91,"yyyy-mm-dd")&amp;"""")</f>
        <v/>
      </c>
      <c r="F90" s="0" t="str">
        <f aca="false">IF(ISBLANK(Instruments!D91),"",","&amp;""""&amp;Instruments!E$1&amp;""""&amp;":"&amp;""""&amp;TEXT(Instruments!E91,"yyyy-mm-dd")&amp;"""")</f>
        <v/>
      </c>
      <c r="G90" s="0" t="str">
        <f aca="false">IF(ISBLANK(Instruments!E91),"",","&amp;""""&amp;Instruments!F$1&amp;""""&amp;":"&amp;""""&amp;Instruments!F91&amp;"""")</f>
        <v/>
      </c>
      <c r="H90" s="0" t="str">
        <f aca="false">IF(ISBLANK(Instruments!F91),"",","&amp;""""&amp;Instruments!G$1&amp;""""&amp;":"&amp;""""&amp;Instruments!G91&amp;"""")</f>
        <v/>
      </c>
      <c r="I90" s="0" t="str">
        <f aca="false">IF(ISBLANK(Instruments!G91),"",","&amp;""""&amp;Instruments!H$1&amp;""""&amp;":"&amp;""""&amp;Instruments!H91&amp;"""")</f>
        <v/>
      </c>
      <c r="J90" s="0" t="str">
        <f aca="false">IF(ISBLANK(Instruments!I91),"",","&amp;""""&amp;Instruments!I$1&amp;""""&amp;":"&amp;""""&amp;Instruments!I91&amp;""""&amp;"}")</f>
        <v/>
      </c>
    </row>
    <row r="91" customFormat="false" ht="15" hidden="false" customHeight="false" outlineLevel="0" collapsed="false">
      <c r="A91" s="0" t="str">
        <f aca="false">_xlfn.CONCAT(B91:J91)</f>
        <v/>
      </c>
      <c r="B91" s="0" t="str">
        <f aca="false">IF(ISBLANK(Instruments!A92),"","{"&amp;""""&amp;Instruments!A$1&amp;""""&amp;":"&amp;""""&amp;Instruments!A92&amp;"""")</f>
        <v/>
      </c>
      <c r="C91" s="0" t="str">
        <f aca="false">IF(ISBLANK(Instruments!A92),"",","&amp;""""&amp;Instruments!B$1&amp;""""&amp;":"&amp;""""&amp;Instruments!B92&amp;"""")</f>
        <v/>
      </c>
      <c r="D91" s="0" t="str">
        <f aca="false">IF(ISBLANK(Instruments!B92),"",","&amp;""""&amp;Instruments!C$1&amp;""""&amp;":"&amp;""""&amp;Instruments!C92&amp;"""")</f>
        <v/>
      </c>
      <c r="E91" s="0" t="str">
        <f aca="false">IF(ISBLANK(Instruments!C92),"",","&amp;""""&amp;Instruments!D$1&amp;""""&amp;":"&amp;""""&amp;TEXT(Instruments!D92,"yyyy-mm-dd")&amp;"""")</f>
        <v/>
      </c>
      <c r="F91" s="0" t="str">
        <f aca="false">IF(ISBLANK(Instruments!D92),"",","&amp;""""&amp;Instruments!E$1&amp;""""&amp;":"&amp;""""&amp;TEXT(Instruments!E92,"yyyy-mm-dd")&amp;"""")</f>
        <v/>
      </c>
      <c r="G91" s="0" t="str">
        <f aca="false">IF(ISBLANK(Instruments!E92),"",","&amp;""""&amp;Instruments!F$1&amp;""""&amp;":"&amp;""""&amp;Instruments!F92&amp;"""")</f>
        <v/>
      </c>
      <c r="H91" s="0" t="str">
        <f aca="false">IF(ISBLANK(Instruments!F92),"",","&amp;""""&amp;Instruments!G$1&amp;""""&amp;":"&amp;""""&amp;Instruments!G92&amp;"""")</f>
        <v/>
      </c>
      <c r="I91" s="0" t="str">
        <f aca="false">IF(ISBLANK(Instruments!G92),"",","&amp;""""&amp;Instruments!H$1&amp;""""&amp;":"&amp;""""&amp;Instruments!H92&amp;"""")</f>
        <v/>
      </c>
      <c r="J91" s="0" t="str">
        <f aca="false">IF(ISBLANK(Instruments!I92),"",","&amp;""""&amp;Instruments!I$1&amp;""""&amp;":"&amp;""""&amp;Instruments!I92&amp;""""&amp;"}")</f>
        <v/>
      </c>
    </row>
    <row r="92" customFormat="false" ht="15" hidden="false" customHeight="false" outlineLevel="0" collapsed="false">
      <c r="A92" s="0" t="str">
        <f aca="false">_xlfn.CONCAT(B92:J92)</f>
        <v/>
      </c>
      <c r="B92" s="0" t="str">
        <f aca="false">IF(ISBLANK(Instruments!A93),"","{"&amp;""""&amp;Instruments!A$1&amp;""""&amp;":"&amp;""""&amp;Instruments!A93&amp;"""")</f>
        <v/>
      </c>
      <c r="C92" s="0" t="str">
        <f aca="false">IF(ISBLANK(Instruments!A93),"",","&amp;""""&amp;Instruments!B$1&amp;""""&amp;":"&amp;""""&amp;Instruments!B93&amp;"""")</f>
        <v/>
      </c>
      <c r="D92" s="0" t="str">
        <f aca="false">IF(ISBLANK(Instruments!B93),"",","&amp;""""&amp;Instruments!C$1&amp;""""&amp;":"&amp;""""&amp;Instruments!C93&amp;"""")</f>
        <v/>
      </c>
      <c r="E92" s="0" t="str">
        <f aca="false">IF(ISBLANK(Instruments!C93),"",","&amp;""""&amp;Instruments!D$1&amp;""""&amp;":"&amp;""""&amp;TEXT(Instruments!D93,"yyyy-mm-dd")&amp;"""")</f>
        <v/>
      </c>
      <c r="F92" s="0" t="str">
        <f aca="false">IF(ISBLANK(Instruments!D93),"",","&amp;""""&amp;Instruments!E$1&amp;""""&amp;":"&amp;""""&amp;TEXT(Instruments!E93,"yyyy-mm-dd")&amp;"""")</f>
        <v/>
      </c>
      <c r="G92" s="0" t="str">
        <f aca="false">IF(ISBLANK(Instruments!E93),"",","&amp;""""&amp;Instruments!F$1&amp;""""&amp;":"&amp;""""&amp;Instruments!F93&amp;"""")</f>
        <v/>
      </c>
      <c r="H92" s="0" t="str">
        <f aca="false">IF(ISBLANK(Instruments!F93),"",","&amp;""""&amp;Instruments!G$1&amp;""""&amp;":"&amp;""""&amp;Instruments!G93&amp;"""")</f>
        <v/>
      </c>
      <c r="I92" s="0" t="str">
        <f aca="false">IF(ISBLANK(Instruments!G93),"",","&amp;""""&amp;Instruments!H$1&amp;""""&amp;":"&amp;""""&amp;Instruments!H93&amp;"""")</f>
        <v/>
      </c>
      <c r="J92" s="0" t="str">
        <f aca="false">IF(ISBLANK(Instruments!I93),"",","&amp;""""&amp;Instruments!I$1&amp;""""&amp;":"&amp;""""&amp;Instruments!I93&amp;""""&amp;"}")</f>
        <v/>
      </c>
    </row>
    <row r="93" customFormat="false" ht="15" hidden="false" customHeight="false" outlineLevel="0" collapsed="false">
      <c r="A93" s="0" t="str">
        <f aca="false">_xlfn.CONCAT(B93:J93)</f>
        <v/>
      </c>
      <c r="B93" s="0" t="str">
        <f aca="false">IF(ISBLANK(Instruments!A94),"","{"&amp;""""&amp;Instruments!A$1&amp;""""&amp;":"&amp;""""&amp;Instruments!A94&amp;"""")</f>
        <v/>
      </c>
      <c r="C93" s="0" t="str">
        <f aca="false">IF(ISBLANK(Instruments!A94),"",","&amp;""""&amp;Instruments!B$1&amp;""""&amp;":"&amp;""""&amp;Instruments!B94&amp;"""")</f>
        <v/>
      </c>
      <c r="D93" s="0" t="str">
        <f aca="false">IF(ISBLANK(Instruments!B94),"",","&amp;""""&amp;Instruments!C$1&amp;""""&amp;":"&amp;""""&amp;Instruments!C94&amp;"""")</f>
        <v/>
      </c>
      <c r="E93" s="0" t="str">
        <f aca="false">IF(ISBLANK(Instruments!C94),"",","&amp;""""&amp;Instruments!D$1&amp;""""&amp;":"&amp;""""&amp;TEXT(Instruments!D94,"yyyy-mm-dd")&amp;"""")</f>
        <v/>
      </c>
      <c r="F93" s="0" t="str">
        <f aca="false">IF(ISBLANK(Instruments!D94),"",","&amp;""""&amp;Instruments!E$1&amp;""""&amp;":"&amp;""""&amp;TEXT(Instruments!E94,"yyyy-mm-dd")&amp;"""")</f>
        <v/>
      </c>
      <c r="G93" s="0" t="str">
        <f aca="false">IF(ISBLANK(Instruments!E94),"",","&amp;""""&amp;Instruments!F$1&amp;""""&amp;":"&amp;""""&amp;Instruments!F94&amp;"""")</f>
        <v/>
      </c>
      <c r="H93" s="0" t="str">
        <f aca="false">IF(ISBLANK(Instruments!F94),"",","&amp;""""&amp;Instruments!G$1&amp;""""&amp;":"&amp;""""&amp;Instruments!G94&amp;"""")</f>
        <v/>
      </c>
      <c r="I93" s="0" t="str">
        <f aca="false">IF(ISBLANK(Instruments!G94),"",","&amp;""""&amp;Instruments!H$1&amp;""""&amp;":"&amp;""""&amp;Instruments!H94&amp;"""")</f>
        <v/>
      </c>
      <c r="J93" s="0" t="str">
        <f aca="false">IF(ISBLANK(Instruments!I94),"",","&amp;""""&amp;Instruments!I$1&amp;""""&amp;":"&amp;""""&amp;Instruments!I94&amp;""""&amp;"}")</f>
        <v/>
      </c>
    </row>
    <row r="94" customFormat="false" ht="15" hidden="false" customHeight="false" outlineLevel="0" collapsed="false">
      <c r="A94" s="0" t="str">
        <f aca="false">_xlfn.CONCAT(B94:J94)</f>
        <v/>
      </c>
      <c r="B94" s="0" t="str">
        <f aca="false">IF(ISBLANK(Instruments!A95),"","{"&amp;""""&amp;Instruments!A$1&amp;""""&amp;":"&amp;""""&amp;Instruments!A95&amp;"""")</f>
        <v/>
      </c>
      <c r="C94" s="0" t="str">
        <f aca="false">IF(ISBLANK(Instruments!A95),"",","&amp;""""&amp;Instruments!B$1&amp;""""&amp;":"&amp;""""&amp;Instruments!B95&amp;"""")</f>
        <v/>
      </c>
      <c r="D94" s="0" t="str">
        <f aca="false">IF(ISBLANK(Instruments!B95),"",","&amp;""""&amp;Instruments!C$1&amp;""""&amp;":"&amp;""""&amp;Instruments!C95&amp;"""")</f>
        <v/>
      </c>
      <c r="E94" s="0" t="str">
        <f aca="false">IF(ISBLANK(Instruments!C95),"",","&amp;""""&amp;Instruments!D$1&amp;""""&amp;":"&amp;""""&amp;TEXT(Instruments!D95,"yyyy-mm-dd")&amp;"""")</f>
        <v/>
      </c>
      <c r="F94" s="0" t="str">
        <f aca="false">IF(ISBLANK(Instruments!D95),"",","&amp;""""&amp;Instruments!E$1&amp;""""&amp;":"&amp;""""&amp;TEXT(Instruments!E95,"yyyy-mm-dd")&amp;"""")</f>
        <v/>
      </c>
      <c r="G94" s="0" t="str">
        <f aca="false">IF(ISBLANK(Instruments!E95),"",","&amp;""""&amp;Instruments!F$1&amp;""""&amp;":"&amp;""""&amp;Instruments!F95&amp;"""")</f>
        <v/>
      </c>
      <c r="H94" s="0" t="str">
        <f aca="false">IF(ISBLANK(Instruments!F95),"",","&amp;""""&amp;Instruments!G$1&amp;""""&amp;":"&amp;""""&amp;Instruments!G95&amp;"""")</f>
        <v/>
      </c>
      <c r="I94" s="0" t="str">
        <f aca="false">IF(ISBLANK(Instruments!G95),"",","&amp;""""&amp;Instruments!H$1&amp;""""&amp;":"&amp;""""&amp;Instruments!H95&amp;"""")</f>
        <v/>
      </c>
      <c r="J94" s="0" t="str">
        <f aca="false">IF(ISBLANK(Instruments!I95),"",","&amp;""""&amp;Instruments!I$1&amp;""""&amp;":"&amp;""""&amp;Instruments!I95&amp;""""&amp;"}")</f>
        <v/>
      </c>
    </row>
    <row r="95" customFormat="false" ht="15" hidden="false" customHeight="false" outlineLevel="0" collapsed="false">
      <c r="A95" s="0" t="str">
        <f aca="false">_xlfn.CONCAT(B95:J95)</f>
        <v/>
      </c>
      <c r="B95" s="0" t="str">
        <f aca="false">IF(ISBLANK(Instruments!A96),"","{"&amp;""""&amp;Instruments!A$1&amp;""""&amp;":"&amp;""""&amp;Instruments!A96&amp;"""")</f>
        <v/>
      </c>
      <c r="C95" s="0" t="str">
        <f aca="false">IF(ISBLANK(Instruments!A96),"",","&amp;""""&amp;Instruments!B$1&amp;""""&amp;":"&amp;""""&amp;Instruments!B96&amp;"""")</f>
        <v/>
      </c>
      <c r="D95" s="0" t="str">
        <f aca="false">IF(ISBLANK(Instruments!B96),"",","&amp;""""&amp;Instruments!C$1&amp;""""&amp;":"&amp;""""&amp;Instruments!C96&amp;"""")</f>
        <v/>
      </c>
      <c r="E95" s="0" t="str">
        <f aca="false">IF(ISBLANK(Instruments!C96),"",","&amp;""""&amp;Instruments!D$1&amp;""""&amp;":"&amp;""""&amp;TEXT(Instruments!D96,"yyyy-mm-dd")&amp;"""")</f>
        <v/>
      </c>
      <c r="F95" s="0" t="str">
        <f aca="false">IF(ISBLANK(Instruments!D96),"",","&amp;""""&amp;Instruments!E$1&amp;""""&amp;":"&amp;""""&amp;TEXT(Instruments!E96,"yyyy-mm-dd")&amp;"""")</f>
        <v/>
      </c>
      <c r="G95" s="0" t="str">
        <f aca="false">IF(ISBLANK(Instruments!E96),"",","&amp;""""&amp;Instruments!F$1&amp;""""&amp;":"&amp;""""&amp;Instruments!F96&amp;"""")</f>
        <v/>
      </c>
      <c r="H95" s="0" t="str">
        <f aca="false">IF(ISBLANK(Instruments!F96),"",","&amp;""""&amp;Instruments!G$1&amp;""""&amp;":"&amp;""""&amp;Instruments!G96&amp;"""")</f>
        <v/>
      </c>
      <c r="I95" s="0" t="str">
        <f aca="false">IF(ISBLANK(Instruments!G96),"",","&amp;""""&amp;Instruments!H$1&amp;""""&amp;":"&amp;""""&amp;Instruments!H96&amp;"""")</f>
        <v/>
      </c>
      <c r="J95" s="0" t="str">
        <f aca="false">IF(ISBLANK(Instruments!I96),"",","&amp;""""&amp;Instruments!I$1&amp;""""&amp;":"&amp;""""&amp;Instruments!I96&amp;""""&amp;"}")</f>
        <v/>
      </c>
    </row>
    <row r="96" customFormat="false" ht="15" hidden="false" customHeight="false" outlineLevel="0" collapsed="false">
      <c r="A96" s="0" t="str">
        <f aca="false">_xlfn.CONCAT(B96:J96)</f>
        <v/>
      </c>
      <c r="B96" s="0" t="str">
        <f aca="false">IF(ISBLANK(Instruments!A97),"","{"&amp;""""&amp;Instruments!A$1&amp;""""&amp;":"&amp;""""&amp;Instruments!A97&amp;"""")</f>
        <v/>
      </c>
      <c r="C96" s="0" t="str">
        <f aca="false">IF(ISBLANK(Instruments!A97),"",","&amp;""""&amp;Instruments!B$1&amp;""""&amp;":"&amp;""""&amp;Instruments!B97&amp;"""")</f>
        <v/>
      </c>
      <c r="D96" s="0" t="str">
        <f aca="false">IF(ISBLANK(Instruments!B97),"",","&amp;""""&amp;Instruments!C$1&amp;""""&amp;":"&amp;""""&amp;Instruments!C97&amp;"""")</f>
        <v/>
      </c>
      <c r="E96" s="0" t="str">
        <f aca="false">IF(ISBLANK(Instruments!C97),"",","&amp;""""&amp;Instruments!D$1&amp;""""&amp;":"&amp;""""&amp;TEXT(Instruments!D97,"yyyy-mm-dd")&amp;"""")</f>
        <v/>
      </c>
      <c r="F96" s="0" t="str">
        <f aca="false">IF(ISBLANK(Instruments!D97),"",","&amp;""""&amp;Instruments!E$1&amp;""""&amp;":"&amp;""""&amp;TEXT(Instruments!E97,"yyyy-mm-dd")&amp;"""")</f>
        <v/>
      </c>
      <c r="G96" s="0" t="str">
        <f aca="false">IF(ISBLANK(Instruments!E97),"",","&amp;""""&amp;Instruments!F$1&amp;""""&amp;":"&amp;""""&amp;Instruments!F97&amp;"""")</f>
        <v/>
      </c>
      <c r="H96" s="0" t="str">
        <f aca="false">IF(ISBLANK(Instruments!F97),"",","&amp;""""&amp;Instruments!G$1&amp;""""&amp;":"&amp;""""&amp;Instruments!G97&amp;"""")</f>
        <v/>
      </c>
      <c r="I96" s="0" t="str">
        <f aca="false">IF(ISBLANK(Instruments!G97),"",","&amp;""""&amp;Instruments!H$1&amp;""""&amp;":"&amp;""""&amp;Instruments!H97&amp;"""")</f>
        <v/>
      </c>
      <c r="J96" s="0" t="str">
        <f aca="false">IF(ISBLANK(Instruments!I97),"",","&amp;""""&amp;Instruments!I$1&amp;""""&amp;":"&amp;""""&amp;Instruments!I97&amp;""""&amp;"}")</f>
        <v/>
      </c>
    </row>
    <row r="97" customFormat="false" ht="15" hidden="false" customHeight="false" outlineLevel="0" collapsed="false">
      <c r="A97" s="0" t="str">
        <f aca="false">_xlfn.CONCAT(B97:J97)</f>
        <v/>
      </c>
      <c r="B97" s="0" t="str">
        <f aca="false">IF(ISBLANK(Instruments!A98),"","{"&amp;""""&amp;Instruments!A$1&amp;""""&amp;":"&amp;""""&amp;Instruments!A98&amp;"""")</f>
        <v/>
      </c>
      <c r="C97" s="0" t="str">
        <f aca="false">IF(ISBLANK(Instruments!A98),"",","&amp;""""&amp;Instruments!B$1&amp;""""&amp;":"&amp;""""&amp;Instruments!B98&amp;"""")</f>
        <v/>
      </c>
      <c r="D97" s="0" t="str">
        <f aca="false">IF(ISBLANK(Instruments!B98),"",","&amp;""""&amp;Instruments!C$1&amp;""""&amp;":"&amp;""""&amp;Instruments!C98&amp;"""")</f>
        <v/>
      </c>
      <c r="E97" s="0" t="str">
        <f aca="false">IF(ISBLANK(Instruments!C98),"",","&amp;""""&amp;Instruments!D$1&amp;""""&amp;":"&amp;""""&amp;TEXT(Instruments!D98,"yyyy-mm-dd")&amp;"""")</f>
        <v/>
      </c>
      <c r="F97" s="0" t="str">
        <f aca="false">IF(ISBLANK(Instruments!D98),"",","&amp;""""&amp;Instruments!E$1&amp;""""&amp;":"&amp;""""&amp;TEXT(Instruments!E98,"yyyy-mm-dd")&amp;"""")</f>
        <v/>
      </c>
      <c r="G97" s="0" t="str">
        <f aca="false">IF(ISBLANK(Instruments!E98),"",","&amp;""""&amp;Instruments!F$1&amp;""""&amp;":"&amp;""""&amp;Instruments!F98&amp;"""")</f>
        <v/>
      </c>
      <c r="H97" s="0" t="str">
        <f aca="false">IF(ISBLANK(Instruments!F98),"",","&amp;""""&amp;Instruments!G$1&amp;""""&amp;":"&amp;""""&amp;Instruments!G98&amp;"""")</f>
        <v/>
      </c>
      <c r="I97" s="0" t="str">
        <f aca="false">IF(ISBLANK(Instruments!G98),"",","&amp;""""&amp;Instruments!H$1&amp;""""&amp;":"&amp;""""&amp;Instruments!H98&amp;"""")</f>
        <v/>
      </c>
      <c r="J97" s="0" t="str">
        <f aca="false">IF(ISBLANK(Instruments!I98),"",","&amp;""""&amp;Instruments!I$1&amp;""""&amp;":"&amp;""""&amp;Instruments!I98&amp;""""&amp;"}")</f>
        <v/>
      </c>
    </row>
    <row r="98" customFormat="false" ht="15" hidden="false" customHeight="false" outlineLevel="0" collapsed="false">
      <c r="A98" s="0" t="str">
        <f aca="false">_xlfn.CONCAT(B98:J98)</f>
        <v/>
      </c>
      <c r="B98" s="0" t="str">
        <f aca="false">IF(ISBLANK(Instruments!A99),"","{"&amp;""""&amp;Instruments!A$1&amp;""""&amp;":"&amp;""""&amp;Instruments!A99&amp;"""")</f>
        <v/>
      </c>
      <c r="C98" s="0" t="str">
        <f aca="false">IF(ISBLANK(Instruments!A99),"",","&amp;""""&amp;Instruments!B$1&amp;""""&amp;":"&amp;""""&amp;Instruments!B99&amp;"""")</f>
        <v/>
      </c>
      <c r="D98" s="0" t="str">
        <f aca="false">IF(ISBLANK(Instruments!B99),"",","&amp;""""&amp;Instruments!C$1&amp;""""&amp;":"&amp;""""&amp;Instruments!C99&amp;"""")</f>
        <v/>
      </c>
      <c r="E98" s="0" t="str">
        <f aca="false">IF(ISBLANK(Instruments!C99),"",","&amp;""""&amp;Instruments!D$1&amp;""""&amp;":"&amp;""""&amp;TEXT(Instruments!D99,"yyyy-mm-dd")&amp;"""")</f>
        <v/>
      </c>
      <c r="F98" s="0" t="str">
        <f aca="false">IF(ISBLANK(Instruments!D99),"",","&amp;""""&amp;Instruments!E$1&amp;""""&amp;":"&amp;""""&amp;TEXT(Instruments!E99,"yyyy-mm-dd")&amp;"""")</f>
        <v/>
      </c>
      <c r="G98" s="0" t="str">
        <f aca="false">IF(ISBLANK(Instruments!E99),"",","&amp;""""&amp;Instruments!F$1&amp;""""&amp;":"&amp;""""&amp;Instruments!F99&amp;"""")</f>
        <v/>
      </c>
      <c r="H98" s="0" t="str">
        <f aca="false">IF(ISBLANK(Instruments!F99),"",","&amp;""""&amp;Instruments!G$1&amp;""""&amp;":"&amp;""""&amp;Instruments!G99&amp;"""")</f>
        <v/>
      </c>
      <c r="I98" s="0" t="str">
        <f aca="false">IF(ISBLANK(Instruments!G99),"",","&amp;""""&amp;Instruments!H$1&amp;""""&amp;":"&amp;""""&amp;Instruments!H99&amp;"""")</f>
        <v/>
      </c>
      <c r="J98" s="0" t="str">
        <f aca="false">IF(ISBLANK(Instruments!I99),"",","&amp;""""&amp;Instruments!I$1&amp;""""&amp;":"&amp;""""&amp;Instruments!I99&amp;""""&amp;"}")</f>
        <v/>
      </c>
    </row>
    <row r="99" customFormat="false" ht="15" hidden="false" customHeight="false" outlineLevel="0" collapsed="false">
      <c r="A99" s="0" t="str">
        <f aca="false">_xlfn.CONCAT(B99:J99)</f>
        <v/>
      </c>
      <c r="B99" s="0" t="str">
        <f aca="false">IF(ISBLANK(Instruments!A100),"","{"&amp;""""&amp;Instruments!A$1&amp;""""&amp;":"&amp;""""&amp;Instruments!A100&amp;"""")</f>
        <v/>
      </c>
      <c r="C99" s="0" t="str">
        <f aca="false">IF(ISBLANK(Instruments!A100),"",","&amp;""""&amp;Instruments!B$1&amp;""""&amp;":"&amp;""""&amp;Instruments!B100&amp;"""")</f>
        <v/>
      </c>
      <c r="D99" s="0" t="str">
        <f aca="false">IF(ISBLANK(Instruments!B100),"",","&amp;""""&amp;Instruments!C$1&amp;""""&amp;":"&amp;""""&amp;Instruments!C100&amp;"""")</f>
        <v/>
      </c>
      <c r="E99" s="0" t="str">
        <f aca="false">IF(ISBLANK(Instruments!C100),"",","&amp;""""&amp;Instruments!D$1&amp;""""&amp;":"&amp;""""&amp;TEXT(Instruments!D100,"yyyy-mm-dd")&amp;"""")</f>
        <v/>
      </c>
      <c r="F99" s="0" t="str">
        <f aca="false">IF(ISBLANK(Instruments!D100),"",","&amp;""""&amp;Instruments!E$1&amp;""""&amp;":"&amp;""""&amp;TEXT(Instruments!E100,"yyyy-mm-dd")&amp;"""")</f>
        <v/>
      </c>
      <c r="G99" s="0" t="str">
        <f aca="false">IF(ISBLANK(Instruments!E100),"",","&amp;""""&amp;Instruments!F$1&amp;""""&amp;":"&amp;""""&amp;Instruments!F100&amp;"""")</f>
        <v/>
      </c>
      <c r="H99" s="0" t="str">
        <f aca="false">IF(ISBLANK(Instruments!F100),"",","&amp;""""&amp;Instruments!G$1&amp;""""&amp;":"&amp;""""&amp;Instruments!G100&amp;"""")</f>
        <v/>
      </c>
      <c r="I99" s="0" t="str">
        <f aca="false">IF(ISBLANK(Instruments!G100),"",","&amp;""""&amp;Instruments!H$1&amp;""""&amp;":"&amp;""""&amp;Instruments!H100&amp;"""")</f>
        <v/>
      </c>
      <c r="J99" s="0" t="str">
        <f aca="false">IF(ISBLANK(Instruments!I100),"",","&amp;""""&amp;Instruments!I$1&amp;""""&amp;":"&amp;""""&amp;Instruments!I100&amp;""""&amp;"}")</f>
        <v/>
      </c>
    </row>
    <row r="100" customFormat="false" ht="15" hidden="false" customHeight="false" outlineLevel="0" collapsed="false">
      <c r="A100" s="0" t="str">
        <f aca="false">_xlfn.CONCAT(B100:J100)</f>
        <v/>
      </c>
      <c r="B100" s="0" t="str">
        <f aca="false">IF(ISBLANK(Instruments!A101),"","{"&amp;""""&amp;Instruments!A$1&amp;""""&amp;":"&amp;""""&amp;Instruments!A101&amp;"""")</f>
        <v/>
      </c>
      <c r="C100" s="0" t="str">
        <f aca="false">IF(ISBLANK(Instruments!A101),"",","&amp;""""&amp;Instruments!B$1&amp;""""&amp;":"&amp;""""&amp;Instruments!B101&amp;"""")</f>
        <v/>
      </c>
      <c r="D100" s="0" t="str">
        <f aca="false">IF(ISBLANK(Instruments!B101),"",","&amp;""""&amp;Instruments!C$1&amp;""""&amp;":"&amp;""""&amp;Instruments!C101&amp;"""")</f>
        <v/>
      </c>
      <c r="E100" s="0" t="str">
        <f aca="false">IF(ISBLANK(Instruments!C101),"",","&amp;""""&amp;Instruments!D$1&amp;""""&amp;":"&amp;""""&amp;TEXT(Instruments!D101,"yyyy-mm-dd")&amp;"""")</f>
        <v/>
      </c>
      <c r="F100" s="0" t="str">
        <f aca="false">IF(ISBLANK(Instruments!D101),"",","&amp;""""&amp;Instruments!E$1&amp;""""&amp;":"&amp;""""&amp;TEXT(Instruments!E101,"yyyy-mm-dd")&amp;"""")</f>
        <v/>
      </c>
      <c r="G100" s="0" t="str">
        <f aca="false">IF(ISBLANK(Instruments!E101),"",","&amp;""""&amp;Instruments!F$1&amp;""""&amp;":"&amp;""""&amp;Instruments!F101&amp;"""")</f>
        <v/>
      </c>
      <c r="H100" s="0" t="str">
        <f aca="false">IF(ISBLANK(Instruments!F101),"",","&amp;""""&amp;Instruments!G$1&amp;""""&amp;":"&amp;""""&amp;Instruments!G101&amp;"""")</f>
        <v/>
      </c>
      <c r="I100" s="0" t="str">
        <f aca="false">IF(ISBLANK(Instruments!G101),"",","&amp;""""&amp;Instruments!H$1&amp;""""&amp;":"&amp;""""&amp;Instruments!H101&amp;"""")</f>
        <v/>
      </c>
      <c r="J100" s="0" t="str">
        <f aca="false">IF(ISBLANK(Instruments!I101),"",","&amp;""""&amp;Instruments!I$1&amp;""""&amp;":"&amp;""""&amp;Instruments!I101&amp;""""&amp;"}")</f>
        <v/>
      </c>
    </row>
    <row r="101" customFormat="false" ht="15" hidden="false" customHeight="false" outlineLevel="0" collapsed="false">
      <c r="A101" s="0" t="str">
        <f aca="false">_xlfn.CONCAT(B101:J101)</f>
        <v/>
      </c>
      <c r="B101" s="0" t="str">
        <f aca="false">IF(ISBLANK(Instruments!A102),"","{"&amp;""""&amp;Instruments!A$1&amp;""""&amp;":"&amp;""""&amp;Instruments!A102&amp;"""")</f>
        <v/>
      </c>
      <c r="C101" s="0" t="str">
        <f aca="false">IF(ISBLANK(Instruments!A102),"",","&amp;""""&amp;Instruments!B$1&amp;""""&amp;":"&amp;""""&amp;Instruments!B102&amp;"""")</f>
        <v/>
      </c>
      <c r="D101" s="0" t="str">
        <f aca="false">IF(ISBLANK(Instruments!B102),"",","&amp;""""&amp;Instruments!C$1&amp;""""&amp;":"&amp;""""&amp;Instruments!C102&amp;"""")</f>
        <v/>
      </c>
      <c r="E101" s="0" t="str">
        <f aca="false">IF(ISBLANK(Instruments!C102),"",","&amp;""""&amp;Instruments!D$1&amp;""""&amp;":"&amp;""""&amp;TEXT(Instruments!D102,"yyyy-mm-dd")&amp;"""")</f>
        <v/>
      </c>
      <c r="F101" s="0" t="str">
        <f aca="false">IF(ISBLANK(Instruments!D102),"",","&amp;""""&amp;Instruments!E$1&amp;""""&amp;":"&amp;""""&amp;TEXT(Instruments!E102,"yyyy-mm-dd")&amp;"""")</f>
        <v/>
      </c>
      <c r="G101" s="0" t="str">
        <f aca="false">IF(ISBLANK(Instruments!E102),"",","&amp;""""&amp;Instruments!F$1&amp;""""&amp;":"&amp;""""&amp;Instruments!F102&amp;"""")</f>
        <v/>
      </c>
      <c r="H101" s="0" t="str">
        <f aca="false">IF(ISBLANK(Instruments!F102),"",","&amp;""""&amp;Instruments!G$1&amp;""""&amp;":"&amp;""""&amp;Instruments!G102&amp;"""")</f>
        <v/>
      </c>
      <c r="I101" s="0" t="str">
        <f aca="false">IF(ISBLANK(Instruments!G102),"",","&amp;""""&amp;Instruments!H$1&amp;""""&amp;":"&amp;""""&amp;Instruments!H102&amp;"""")</f>
        <v/>
      </c>
      <c r="J101" s="0" t="str">
        <f aca="false">IF(ISBLANK(Instruments!I102),"",","&amp;""""&amp;Instruments!I$1&amp;""""&amp;":"&amp;""""&amp;Instruments!I102&amp;""""&amp;"}")</f>
        <v/>
      </c>
    </row>
    <row r="102" customFormat="false" ht="15" hidden="false" customHeight="false" outlineLevel="0" collapsed="false">
      <c r="A102" s="0" t="str">
        <f aca="false">_xlfn.CONCAT(B102:J102)</f>
        <v/>
      </c>
      <c r="B102" s="0" t="str">
        <f aca="false">IF(ISBLANK(Instruments!A103),"","{"&amp;""""&amp;Instruments!A$1&amp;""""&amp;":"&amp;""""&amp;Instruments!A103&amp;"""")</f>
        <v/>
      </c>
      <c r="C102" s="0" t="str">
        <f aca="false">IF(ISBLANK(Instruments!A103),"",","&amp;""""&amp;Instruments!B$1&amp;""""&amp;":"&amp;""""&amp;Instruments!B103&amp;"""")</f>
        <v/>
      </c>
      <c r="D102" s="0" t="str">
        <f aca="false">IF(ISBLANK(Instruments!B103),"",","&amp;""""&amp;Instruments!C$1&amp;""""&amp;":"&amp;""""&amp;Instruments!C103&amp;"""")</f>
        <v/>
      </c>
      <c r="E102" s="0" t="str">
        <f aca="false">IF(ISBLANK(Instruments!C103),"",","&amp;""""&amp;Instruments!D$1&amp;""""&amp;":"&amp;""""&amp;TEXT(Instruments!D103,"yyyy-mm-dd")&amp;"""")</f>
        <v/>
      </c>
      <c r="F102" s="0" t="str">
        <f aca="false">IF(ISBLANK(Instruments!D103),"",","&amp;""""&amp;Instruments!E$1&amp;""""&amp;":"&amp;""""&amp;TEXT(Instruments!E103,"yyyy-mm-dd")&amp;"""")</f>
        <v/>
      </c>
      <c r="G102" s="0" t="str">
        <f aca="false">IF(ISBLANK(Instruments!E103),"",","&amp;""""&amp;Instruments!F$1&amp;""""&amp;":"&amp;""""&amp;Instruments!F103&amp;"""")</f>
        <v/>
      </c>
      <c r="H102" s="0" t="str">
        <f aca="false">IF(ISBLANK(Instruments!F103),"",","&amp;""""&amp;Instruments!G$1&amp;""""&amp;":"&amp;""""&amp;Instruments!G103&amp;"""")</f>
        <v/>
      </c>
      <c r="I102" s="0" t="str">
        <f aca="false">IF(ISBLANK(Instruments!G103),"",","&amp;""""&amp;Instruments!H$1&amp;""""&amp;":"&amp;""""&amp;Instruments!H103&amp;"""")</f>
        <v/>
      </c>
      <c r="J102" s="0" t="str">
        <f aca="false">IF(ISBLANK(Instruments!I103),"",","&amp;""""&amp;Instruments!I$1&amp;""""&amp;":"&amp;""""&amp;Instruments!I103&amp;""""&amp;"}")</f>
        <v/>
      </c>
    </row>
    <row r="103" customFormat="false" ht="15" hidden="false" customHeight="false" outlineLevel="0" collapsed="false">
      <c r="A103" s="0" t="str">
        <f aca="false">_xlfn.CONCAT(B103:J103)</f>
        <v/>
      </c>
      <c r="B103" s="0" t="str">
        <f aca="false">IF(ISBLANK(Instruments!A104),"","{"&amp;""""&amp;Instruments!A$1&amp;""""&amp;":"&amp;""""&amp;Instruments!A104&amp;"""")</f>
        <v/>
      </c>
      <c r="C103" s="0" t="str">
        <f aca="false">IF(ISBLANK(Instruments!A104),"",","&amp;""""&amp;Instruments!B$1&amp;""""&amp;":"&amp;""""&amp;Instruments!B104&amp;"""")</f>
        <v/>
      </c>
      <c r="D103" s="0" t="str">
        <f aca="false">IF(ISBLANK(Instruments!B104),"",","&amp;""""&amp;Instruments!C$1&amp;""""&amp;":"&amp;""""&amp;Instruments!C104&amp;"""")</f>
        <v/>
      </c>
      <c r="E103" s="0" t="str">
        <f aca="false">IF(ISBLANK(Instruments!C104),"",","&amp;""""&amp;Instruments!D$1&amp;""""&amp;":"&amp;""""&amp;TEXT(Instruments!D104,"yyyy-mm-dd")&amp;"""")</f>
        <v/>
      </c>
      <c r="F103" s="0" t="str">
        <f aca="false">IF(ISBLANK(Instruments!D104),"",","&amp;""""&amp;Instruments!E$1&amp;""""&amp;":"&amp;""""&amp;TEXT(Instruments!E104,"yyyy-mm-dd")&amp;"""")</f>
        <v/>
      </c>
      <c r="G103" s="0" t="str">
        <f aca="false">IF(ISBLANK(Instruments!E104),"",","&amp;""""&amp;Instruments!F$1&amp;""""&amp;":"&amp;""""&amp;Instruments!F104&amp;"""")</f>
        <v/>
      </c>
      <c r="H103" s="0" t="str">
        <f aca="false">IF(ISBLANK(Instruments!F104),"",","&amp;""""&amp;Instruments!G$1&amp;""""&amp;":"&amp;""""&amp;Instruments!G104&amp;"""")</f>
        <v/>
      </c>
      <c r="I103" s="0" t="str">
        <f aca="false">IF(ISBLANK(Instruments!G104),"",","&amp;""""&amp;Instruments!H$1&amp;""""&amp;":"&amp;""""&amp;Instruments!H104&amp;"""")</f>
        <v/>
      </c>
      <c r="J103" s="0" t="str">
        <f aca="false">IF(ISBLANK(Instruments!I104),"",","&amp;""""&amp;Instruments!I$1&amp;""""&amp;":"&amp;""""&amp;Instruments!I104&amp;""""&amp;"}")</f>
        <v/>
      </c>
    </row>
    <row r="104" customFormat="false" ht="15" hidden="false" customHeight="false" outlineLevel="0" collapsed="false">
      <c r="A104" s="0" t="str">
        <f aca="false">_xlfn.CONCAT(B104:J104)</f>
        <v/>
      </c>
      <c r="B104" s="0" t="str">
        <f aca="false">IF(ISBLANK(Instruments!A105),"","{"&amp;""""&amp;Instruments!A$1&amp;""""&amp;":"&amp;""""&amp;Instruments!A105&amp;"""")</f>
        <v/>
      </c>
      <c r="C104" s="0" t="str">
        <f aca="false">IF(ISBLANK(Instruments!A105),"",","&amp;""""&amp;Instruments!B$1&amp;""""&amp;":"&amp;""""&amp;Instruments!B105&amp;"""")</f>
        <v/>
      </c>
      <c r="D104" s="0" t="str">
        <f aca="false">IF(ISBLANK(Instruments!B105),"",","&amp;""""&amp;Instruments!C$1&amp;""""&amp;":"&amp;""""&amp;Instruments!C105&amp;"""")</f>
        <v/>
      </c>
      <c r="E104" s="0" t="str">
        <f aca="false">IF(ISBLANK(Instruments!C105),"",","&amp;""""&amp;Instruments!D$1&amp;""""&amp;":"&amp;""""&amp;TEXT(Instruments!D105,"yyyy-mm-dd")&amp;"""")</f>
        <v/>
      </c>
      <c r="F104" s="0" t="str">
        <f aca="false">IF(ISBLANK(Instruments!D105),"",","&amp;""""&amp;Instruments!E$1&amp;""""&amp;":"&amp;""""&amp;TEXT(Instruments!E105,"yyyy-mm-dd")&amp;"""")</f>
        <v/>
      </c>
      <c r="G104" s="0" t="str">
        <f aca="false">IF(ISBLANK(Instruments!E105),"",","&amp;""""&amp;Instruments!F$1&amp;""""&amp;":"&amp;""""&amp;Instruments!F105&amp;"""")</f>
        <v/>
      </c>
      <c r="H104" s="0" t="str">
        <f aca="false">IF(ISBLANK(Instruments!F105),"",","&amp;""""&amp;Instruments!G$1&amp;""""&amp;":"&amp;""""&amp;Instruments!G105&amp;"""")</f>
        <v/>
      </c>
      <c r="I104" s="0" t="str">
        <f aca="false">IF(ISBLANK(Instruments!G105),"",","&amp;""""&amp;Instruments!H$1&amp;""""&amp;":"&amp;""""&amp;Instruments!H105&amp;"""")</f>
        <v/>
      </c>
      <c r="J104" s="0" t="str">
        <f aca="false">IF(ISBLANK(Instruments!I105),"",","&amp;""""&amp;Instruments!I$1&amp;""""&amp;":"&amp;""""&amp;Instruments!I105&amp;""""&amp;"}")</f>
        <v/>
      </c>
    </row>
    <row r="105" customFormat="false" ht="15" hidden="false" customHeight="false" outlineLevel="0" collapsed="false">
      <c r="A105" s="0" t="str">
        <f aca="false">_xlfn.CONCAT(B105:J105)</f>
        <v/>
      </c>
      <c r="B105" s="0" t="str">
        <f aca="false">IF(ISBLANK(Instruments!A106),"","{"&amp;""""&amp;Instruments!A$1&amp;""""&amp;":"&amp;""""&amp;Instruments!A106&amp;"""")</f>
        <v/>
      </c>
      <c r="C105" s="0" t="str">
        <f aca="false">IF(ISBLANK(Instruments!A106),"",","&amp;""""&amp;Instruments!B$1&amp;""""&amp;":"&amp;""""&amp;Instruments!B106&amp;"""")</f>
        <v/>
      </c>
      <c r="D105" s="0" t="str">
        <f aca="false">IF(ISBLANK(Instruments!B106),"",","&amp;""""&amp;Instruments!C$1&amp;""""&amp;":"&amp;""""&amp;Instruments!C106&amp;"""")</f>
        <v/>
      </c>
      <c r="E105" s="0" t="str">
        <f aca="false">IF(ISBLANK(Instruments!C106),"",","&amp;""""&amp;Instruments!D$1&amp;""""&amp;":"&amp;""""&amp;TEXT(Instruments!D106,"yyyy-mm-dd")&amp;"""")</f>
        <v/>
      </c>
      <c r="F105" s="0" t="str">
        <f aca="false">IF(ISBLANK(Instruments!D106),"",","&amp;""""&amp;Instruments!E$1&amp;""""&amp;":"&amp;""""&amp;TEXT(Instruments!E106,"yyyy-mm-dd")&amp;"""")</f>
        <v/>
      </c>
      <c r="G105" s="0" t="str">
        <f aca="false">IF(ISBLANK(Instruments!E106),"",","&amp;""""&amp;Instruments!F$1&amp;""""&amp;":"&amp;""""&amp;Instruments!F106&amp;"""")</f>
        <v/>
      </c>
      <c r="H105" s="0" t="str">
        <f aca="false">IF(ISBLANK(Instruments!F106),"",","&amp;""""&amp;Instruments!G$1&amp;""""&amp;":"&amp;""""&amp;Instruments!G106&amp;"""")</f>
        <v/>
      </c>
      <c r="I105" s="0" t="str">
        <f aca="false">IF(ISBLANK(Instruments!G106),"",","&amp;""""&amp;Instruments!H$1&amp;""""&amp;":"&amp;""""&amp;Instruments!H106&amp;"""")</f>
        <v/>
      </c>
      <c r="J105" s="0" t="str">
        <f aca="false">IF(ISBLANK(Instruments!I106),"",","&amp;""""&amp;Instruments!I$1&amp;""""&amp;":"&amp;""""&amp;Instruments!I106&amp;""""&amp;"}")</f>
        <v/>
      </c>
    </row>
    <row r="106" customFormat="false" ht="15" hidden="false" customHeight="false" outlineLevel="0" collapsed="false">
      <c r="A106" s="0" t="str">
        <f aca="false">_xlfn.CONCAT(B106:J106)</f>
        <v/>
      </c>
      <c r="B106" s="0" t="str">
        <f aca="false">IF(ISBLANK(Instruments!A107),"","{"&amp;""""&amp;Instruments!A$1&amp;""""&amp;":"&amp;""""&amp;Instruments!A107&amp;"""")</f>
        <v/>
      </c>
      <c r="C106" s="0" t="str">
        <f aca="false">IF(ISBLANK(Instruments!A107),"",","&amp;""""&amp;Instruments!B$1&amp;""""&amp;":"&amp;""""&amp;Instruments!B107&amp;"""")</f>
        <v/>
      </c>
      <c r="D106" s="0" t="str">
        <f aca="false">IF(ISBLANK(Instruments!B107),"",","&amp;""""&amp;Instruments!C$1&amp;""""&amp;":"&amp;""""&amp;Instruments!C107&amp;"""")</f>
        <v/>
      </c>
      <c r="E106" s="0" t="str">
        <f aca="false">IF(ISBLANK(Instruments!C107),"",","&amp;""""&amp;Instruments!D$1&amp;""""&amp;":"&amp;""""&amp;TEXT(Instruments!D107,"yyyy-mm-dd")&amp;"""")</f>
        <v/>
      </c>
      <c r="F106" s="0" t="str">
        <f aca="false">IF(ISBLANK(Instruments!D107),"",","&amp;""""&amp;Instruments!E$1&amp;""""&amp;":"&amp;""""&amp;TEXT(Instruments!E107,"yyyy-mm-dd")&amp;"""")</f>
        <v/>
      </c>
      <c r="G106" s="0" t="str">
        <f aca="false">IF(ISBLANK(Instruments!E107),"",","&amp;""""&amp;Instruments!F$1&amp;""""&amp;":"&amp;""""&amp;Instruments!F107&amp;"""")</f>
        <v/>
      </c>
      <c r="H106" s="0" t="str">
        <f aca="false">IF(ISBLANK(Instruments!F107),"",","&amp;""""&amp;Instruments!G$1&amp;""""&amp;":"&amp;""""&amp;Instruments!G107&amp;"""")</f>
        <v/>
      </c>
      <c r="I106" s="0" t="str">
        <f aca="false">IF(ISBLANK(Instruments!G107),"",","&amp;""""&amp;Instruments!H$1&amp;""""&amp;":"&amp;""""&amp;Instruments!H107&amp;"""")</f>
        <v/>
      </c>
      <c r="J106" s="0" t="str">
        <f aca="false">IF(ISBLANK(Instruments!I107),"",","&amp;""""&amp;Instruments!I$1&amp;""""&amp;":"&amp;""""&amp;Instruments!I107&amp;""""&amp;"}")</f>
        <v/>
      </c>
    </row>
    <row r="107" customFormat="false" ht="15" hidden="false" customHeight="false" outlineLevel="0" collapsed="false">
      <c r="A107" s="0" t="str">
        <f aca="false">_xlfn.CONCAT(B107:J107)</f>
        <v/>
      </c>
      <c r="B107" s="0" t="str">
        <f aca="false">IF(ISBLANK(Instruments!A108),"","{"&amp;""""&amp;Instruments!A$1&amp;""""&amp;":"&amp;""""&amp;Instruments!A108&amp;"""")</f>
        <v/>
      </c>
      <c r="C107" s="0" t="str">
        <f aca="false">IF(ISBLANK(Instruments!A108),"",","&amp;""""&amp;Instruments!B$1&amp;""""&amp;":"&amp;""""&amp;Instruments!B108&amp;"""")</f>
        <v/>
      </c>
      <c r="D107" s="0" t="str">
        <f aca="false">IF(ISBLANK(Instruments!B108),"",","&amp;""""&amp;Instruments!C$1&amp;""""&amp;":"&amp;""""&amp;Instruments!C108&amp;"""")</f>
        <v/>
      </c>
      <c r="E107" s="0" t="str">
        <f aca="false">IF(ISBLANK(Instruments!C108),"",","&amp;""""&amp;Instruments!D$1&amp;""""&amp;":"&amp;""""&amp;TEXT(Instruments!D108,"yyyy-mm-dd")&amp;"""")</f>
        <v/>
      </c>
      <c r="F107" s="0" t="str">
        <f aca="false">IF(ISBLANK(Instruments!D108),"",","&amp;""""&amp;Instruments!E$1&amp;""""&amp;":"&amp;""""&amp;TEXT(Instruments!E108,"yyyy-mm-dd")&amp;"""")</f>
        <v/>
      </c>
      <c r="G107" s="0" t="str">
        <f aca="false">IF(ISBLANK(Instruments!E108),"",","&amp;""""&amp;Instruments!F$1&amp;""""&amp;":"&amp;""""&amp;Instruments!F108&amp;"""")</f>
        <v/>
      </c>
      <c r="H107" s="0" t="str">
        <f aca="false">IF(ISBLANK(Instruments!F108),"",","&amp;""""&amp;Instruments!G$1&amp;""""&amp;":"&amp;""""&amp;Instruments!G108&amp;"""")</f>
        <v/>
      </c>
      <c r="I107" s="0" t="str">
        <f aca="false">IF(ISBLANK(Instruments!G108),"",","&amp;""""&amp;Instruments!H$1&amp;""""&amp;":"&amp;""""&amp;Instruments!H108&amp;"""")</f>
        <v/>
      </c>
      <c r="J107" s="0" t="str">
        <f aca="false">IF(ISBLANK(Instruments!I108),"",","&amp;""""&amp;Instruments!I$1&amp;""""&amp;":"&amp;""""&amp;Instruments!I108&amp;""""&amp;"}")</f>
        <v/>
      </c>
    </row>
    <row r="108" customFormat="false" ht="15" hidden="false" customHeight="false" outlineLevel="0" collapsed="false">
      <c r="A108" s="0" t="str">
        <f aca="false">_xlfn.CONCAT(B108:J108)</f>
        <v/>
      </c>
      <c r="B108" s="0" t="str">
        <f aca="false">IF(ISBLANK(Instruments!A109),"","{"&amp;""""&amp;Instruments!A$1&amp;""""&amp;":"&amp;""""&amp;Instruments!A109&amp;"""")</f>
        <v/>
      </c>
      <c r="C108" s="0" t="str">
        <f aca="false">IF(ISBLANK(Instruments!A109),"",","&amp;""""&amp;Instruments!B$1&amp;""""&amp;":"&amp;""""&amp;Instruments!B109&amp;"""")</f>
        <v/>
      </c>
      <c r="D108" s="0" t="str">
        <f aca="false">IF(ISBLANK(Instruments!B109),"",","&amp;""""&amp;Instruments!C$1&amp;""""&amp;":"&amp;""""&amp;Instruments!C109&amp;"""")</f>
        <v/>
      </c>
      <c r="E108" s="0" t="str">
        <f aca="false">IF(ISBLANK(Instruments!C109),"",","&amp;""""&amp;Instruments!D$1&amp;""""&amp;":"&amp;""""&amp;TEXT(Instruments!D109,"yyyy-mm-dd")&amp;"""")</f>
        <v/>
      </c>
      <c r="F108" s="0" t="str">
        <f aca="false">IF(ISBLANK(Instruments!D109),"",","&amp;""""&amp;Instruments!E$1&amp;""""&amp;":"&amp;""""&amp;TEXT(Instruments!E109,"yyyy-mm-dd")&amp;"""")</f>
        <v/>
      </c>
      <c r="G108" s="0" t="str">
        <f aca="false">IF(ISBLANK(Instruments!E109),"",","&amp;""""&amp;Instruments!F$1&amp;""""&amp;":"&amp;""""&amp;Instruments!F109&amp;"""")</f>
        <v/>
      </c>
      <c r="H108" s="0" t="str">
        <f aca="false">IF(ISBLANK(Instruments!F109),"",","&amp;""""&amp;Instruments!G$1&amp;""""&amp;":"&amp;""""&amp;Instruments!G109&amp;"""")</f>
        <v/>
      </c>
      <c r="I108" s="0" t="str">
        <f aca="false">IF(ISBLANK(Instruments!G109),"",","&amp;""""&amp;Instruments!H$1&amp;""""&amp;":"&amp;""""&amp;Instruments!H109&amp;"""")</f>
        <v/>
      </c>
      <c r="J108" s="0" t="str">
        <f aca="false">IF(ISBLANK(Instruments!I109),"",","&amp;""""&amp;Instruments!I$1&amp;""""&amp;":"&amp;""""&amp;Instruments!I109&amp;""""&amp;"}")</f>
        <v/>
      </c>
    </row>
    <row r="109" customFormat="false" ht="15" hidden="false" customHeight="false" outlineLevel="0" collapsed="false">
      <c r="A109" s="0" t="str">
        <f aca="false">_xlfn.CONCAT(B109:J109)</f>
        <v/>
      </c>
      <c r="B109" s="0" t="str">
        <f aca="false">IF(ISBLANK(Instruments!A110),"","{"&amp;""""&amp;Instruments!A$1&amp;""""&amp;":"&amp;""""&amp;Instruments!A110&amp;"""")</f>
        <v/>
      </c>
      <c r="C109" s="0" t="str">
        <f aca="false">IF(ISBLANK(Instruments!A110),"",","&amp;""""&amp;Instruments!B$1&amp;""""&amp;":"&amp;""""&amp;Instruments!B110&amp;"""")</f>
        <v/>
      </c>
      <c r="D109" s="0" t="str">
        <f aca="false">IF(ISBLANK(Instruments!B110),"",","&amp;""""&amp;Instruments!C$1&amp;""""&amp;":"&amp;""""&amp;Instruments!C110&amp;"""")</f>
        <v/>
      </c>
      <c r="E109" s="0" t="str">
        <f aca="false">IF(ISBLANK(Instruments!C110),"",","&amp;""""&amp;Instruments!D$1&amp;""""&amp;":"&amp;""""&amp;TEXT(Instruments!D110,"yyyy-mm-dd")&amp;"""")</f>
        <v/>
      </c>
      <c r="F109" s="0" t="str">
        <f aca="false">IF(ISBLANK(Instruments!D110),"",","&amp;""""&amp;Instruments!E$1&amp;""""&amp;":"&amp;""""&amp;TEXT(Instruments!E110,"yyyy-mm-dd")&amp;"""")</f>
        <v/>
      </c>
      <c r="G109" s="0" t="str">
        <f aca="false">IF(ISBLANK(Instruments!E110),"",","&amp;""""&amp;Instruments!F$1&amp;""""&amp;":"&amp;""""&amp;Instruments!F110&amp;"""")</f>
        <v/>
      </c>
      <c r="H109" s="0" t="str">
        <f aca="false">IF(ISBLANK(Instruments!F110),"",","&amp;""""&amp;Instruments!G$1&amp;""""&amp;":"&amp;""""&amp;Instruments!G110&amp;"""")</f>
        <v/>
      </c>
      <c r="I109" s="0" t="str">
        <f aca="false">IF(ISBLANK(Instruments!G110),"",","&amp;""""&amp;Instruments!H$1&amp;""""&amp;":"&amp;""""&amp;Instruments!H110&amp;"""")</f>
        <v/>
      </c>
      <c r="J109" s="0" t="str">
        <f aca="false">IF(ISBLANK(Instruments!I110),"",","&amp;""""&amp;Instruments!I$1&amp;""""&amp;":"&amp;""""&amp;Instruments!I110&amp;""""&amp;"}")</f>
        <v/>
      </c>
    </row>
    <row r="110" customFormat="false" ht="15" hidden="false" customHeight="false" outlineLevel="0" collapsed="false">
      <c r="A110" s="0" t="str">
        <f aca="false">_xlfn.CONCAT(B110:J110)</f>
        <v/>
      </c>
      <c r="B110" s="0" t="str">
        <f aca="false">IF(ISBLANK(Instruments!A111),"","{"&amp;""""&amp;Instruments!A$1&amp;""""&amp;":"&amp;""""&amp;Instruments!A111&amp;"""")</f>
        <v/>
      </c>
      <c r="C110" s="0" t="str">
        <f aca="false">IF(ISBLANK(Instruments!A111),"",","&amp;""""&amp;Instruments!B$1&amp;""""&amp;":"&amp;""""&amp;Instruments!B111&amp;"""")</f>
        <v/>
      </c>
      <c r="D110" s="0" t="str">
        <f aca="false">IF(ISBLANK(Instruments!B111),"",","&amp;""""&amp;Instruments!C$1&amp;""""&amp;":"&amp;""""&amp;Instruments!C111&amp;"""")</f>
        <v/>
      </c>
      <c r="E110" s="0" t="str">
        <f aca="false">IF(ISBLANK(Instruments!C111),"",","&amp;""""&amp;Instruments!D$1&amp;""""&amp;":"&amp;""""&amp;TEXT(Instruments!D111,"yyyy-mm-dd")&amp;"""")</f>
        <v/>
      </c>
      <c r="F110" s="0" t="str">
        <f aca="false">IF(ISBLANK(Instruments!D111),"",","&amp;""""&amp;Instruments!E$1&amp;""""&amp;":"&amp;""""&amp;TEXT(Instruments!E111,"yyyy-mm-dd")&amp;"""")</f>
        <v/>
      </c>
      <c r="G110" s="0" t="str">
        <f aca="false">IF(ISBLANK(Instruments!E111),"",","&amp;""""&amp;Instruments!F$1&amp;""""&amp;":"&amp;""""&amp;Instruments!F111&amp;"""")</f>
        <v/>
      </c>
      <c r="H110" s="0" t="str">
        <f aca="false">IF(ISBLANK(Instruments!F111),"",","&amp;""""&amp;Instruments!G$1&amp;""""&amp;":"&amp;""""&amp;Instruments!G111&amp;"""")</f>
        <v/>
      </c>
      <c r="I110" s="0" t="str">
        <f aca="false">IF(ISBLANK(Instruments!G111),"",","&amp;""""&amp;Instruments!H$1&amp;""""&amp;":"&amp;""""&amp;Instruments!H111&amp;"""")</f>
        <v/>
      </c>
      <c r="J110" s="0" t="str">
        <f aca="false">IF(ISBLANK(Instruments!I111),"",","&amp;""""&amp;Instruments!I$1&amp;""""&amp;":"&amp;""""&amp;Instruments!I111&amp;""""&amp;"}")</f>
        <v/>
      </c>
    </row>
    <row r="111" customFormat="false" ht="15" hidden="false" customHeight="false" outlineLevel="0" collapsed="false">
      <c r="A111" s="0" t="str">
        <f aca="false">_xlfn.CONCAT(B111:J111)</f>
        <v/>
      </c>
      <c r="B111" s="0" t="str">
        <f aca="false">IF(ISBLANK(Instruments!A112),"","{"&amp;""""&amp;Instruments!A$1&amp;""""&amp;":"&amp;""""&amp;Instruments!A112&amp;"""")</f>
        <v/>
      </c>
      <c r="C111" s="0" t="str">
        <f aca="false">IF(ISBLANK(Instruments!A112),"",","&amp;""""&amp;Instruments!B$1&amp;""""&amp;":"&amp;""""&amp;Instruments!B112&amp;"""")</f>
        <v/>
      </c>
      <c r="D111" s="0" t="str">
        <f aca="false">IF(ISBLANK(Instruments!B112),"",","&amp;""""&amp;Instruments!C$1&amp;""""&amp;":"&amp;""""&amp;Instruments!C112&amp;"""")</f>
        <v/>
      </c>
      <c r="E111" s="0" t="str">
        <f aca="false">IF(ISBLANK(Instruments!C112),"",","&amp;""""&amp;Instruments!D$1&amp;""""&amp;":"&amp;""""&amp;TEXT(Instruments!D112,"yyyy-mm-dd")&amp;"""")</f>
        <v/>
      </c>
      <c r="F111" s="0" t="str">
        <f aca="false">IF(ISBLANK(Instruments!D112),"",","&amp;""""&amp;Instruments!E$1&amp;""""&amp;":"&amp;""""&amp;TEXT(Instruments!E112,"yyyy-mm-dd")&amp;"""")</f>
        <v/>
      </c>
      <c r="G111" s="0" t="str">
        <f aca="false">IF(ISBLANK(Instruments!E112),"",","&amp;""""&amp;Instruments!F$1&amp;""""&amp;":"&amp;""""&amp;Instruments!F112&amp;"""")</f>
        <v/>
      </c>
      <c r="H111" s="0" t="str">
        <f aca="false">IF(ISBLANK(Instruments!F112),"",","&amp;""""&amp;Instruments!G$1&amp;""""&amp;":"&amp;""""&amp;Instruments!G112&amp;"""")</f>
        <v/>
      </c>
      <c r="I111" s="0" t="str">
        <f aca="false">IF(ISBLANK(Instruments!G112),"",","&amp;""""&amp;Instruments!H$1&amp;""""&amp;":"&amp;""""&amp;Instruments!H112&amp;"""")</f>
        <v/>
      </c>
      <c r="J111" s="0" t="str">
        <f aca="false">IF(ISBLANK(Instruments!I112),"",","&amp;""""&amp;Instruments!I$1&amp;""""&amp;":"&amp;""""&amp;Instruments!I112&amp;""""&amp;"}")</f>
        <v/>
      </c>
    </row>
    <row r="112" customFormat="false" ht="15" hidden="false" customHeight="false" outlineLevel="0" collapsed="false">
      <c r="A112" s="0" t="str">
        <f aca="false">_xlfn.CONCAT(B112:J112)</f>
        <v/>
      </c>
      <c r="B112" s="0" t="str">
        <f aca="false">IF(ISBLANK(Instruments!A113),"","{"&amp;""""&amp;Instruments!A$1&amp;""""&amp;":"&amp;""""&amp;Instruments!A113&amp;"""")</f>
        <v/>
      </c>
      <c r="C112" s="0" t="str">
        <f aca="false">IF(ISBLANK(Instruments!A113),"",","&amp;""""&amp;Instruments!B$1&amp;""""&amp;":"&amp;""""&amp;Instruments!B113&amp;"""")</f>
        <v/>
      </c>
      <c r="D112" s="0" t="str">
        <f aca="false">IF(ISBLANK(Instruments!B113),"",","&amp;""""&amp;Instruments!C$1&amp;""""&amp;":"&amp;""""&amp;Instruments!C113&amp;"""")</f>
        <v/>
      </c>
      <c r="E112" s="0" t="str">
        <f aca="false">IF(ISBLANK(Instruments!C113),"",","&amp;""""&amp;Instruments!D$1&amp;""""&amp;":"&amp;""""&amp;TEXT(Instruments!D113,"yyyy-mm-dd")&amp;"""")</f>
        <v/>
      </c>
      <c r="F112" s="0" t="str">
        <f aca="false">IF(ISBLANK(Instruments!D113),"",","&amp;""""&amp;Instruments!E$1&amp;""""&amp;":"&amp;""""&amp;TEXT(Instruments!E113,"yyyy-mm-dd")&amp;"""")</f>
        <v/>
      </c>
      <c r="G112" s="0" t="str">
        <f aca="false">IF(ISBLANK(Instruments!E113),"",","&amp;""""&amp;Instruments!F$1&amp;""""&amp;":"&amp;""""&amp;Instruments!F113&amp;"""")</f>
        <v/>
      </c>
      <c r="H112" s="0" t="str">
        <f aca="false">IF(ISBLANK(Instruments!F113),"",","&amp;""""&amp;Instruments!G$1&amp;""""&amp;":"&amp;""""&amp;Instruments!G113&amp;"""")</f>
        <v/>
      </c>
      <c r="I112" s="0" t="str">
        <f aca="false">IF(ISBLANK(Instruments!G113),"",","&amp;""""&amp;Instruments!H$1&amp;""""&amp;":"&amp;""""&amp;Instruments!H113&amp;"""")</f>
        <v/>
      </c>
      <c r="J112" s="0" t="str">
        <f aca="false">IF(ISBLANK(Instruments!I113),"",","&amp;""""&amp;Instruments!I$1&amp;""""&amp;":"&amp;""""&amp;Instruments!I113&amp;""""&amp;"}")</f>
        <v/>
      </c>
    </row>
    <row r="113" customFormat="false" ht="15" hidden="false" customHeight="false" outlineLevel="0" collapsed="false">
      <c r="A113" s="0" t="str">
        <f aca="false">_xlfn.CONCAT(B113:J113)</f>
        <v/>
      </c>
      <c r="B113" s="0" t="str">
        <f aca="false">IF(ISBLANK(Instruments!A114),"","{"&amp;""""&amp;Instruments!A$1&amp;""""&amp;":"&amp;""""&amp;Instruments!A114&amp;"""")</f>
        <v/>
      </c>
      <c r="C113" s="0" t="str">
        <f aca="false">IF(ISBLANK(Instruments!A114),"",","&amp;""""&amp;Instruments!B$1&amp;""""&amp;":"&amp;""""&amp;Instruments!B114&amp;"""")</f>
        <v/>
      </c>
      <c r="D113" s="0" t="str">
        <f aca="false">IF(ISBLANK(Instruments!B114),"",","&amp;""""&amp;Instruments!C$1&amp;""""&amp;":"&amp;""""&amp;Instruments!C114&amp;"""")</f>
        <v/>
      </c>
      <c r="E113" s="0" t="str">
        <f aca="false">IF(ISBLANK(Instruments!C114),"",","&amp;""""&amp;Instruments!D$1&amp;""""&amp;":"&amp;""""&amp;TEXT(Instruments!D114,"yyyy-mm-dd")&amp;"""")</f>
        <v/>
      </c>
      <c r="F113" s="0" t="str">
        <f aca="false">IF(ISBLANK(Instruments!D114),"",","&amp;""""&amp;Instruments!E$1&amp;""""&amp;":"&amp;""""&amp;TEXT(Instruments!E114,"yyyy-mm-dd")&amp;"""")</f>
        <v/>
      </c>
      <c r="G113" s="0" t="str">
        <f aca="false">IF(ISBLANK(Instruments!E114),"",","&amp;""""&amp;Instruments!F$1&amp;""""&amp;":"&amp;""""&amp;Instruments!F114&amp;"""")</f>
        <v/>
      </c>
      <c r="H113" s="0" t="str">
        <f aca="false">IF(ISBLANK(Instruments!F114),"",","&amp;""""&amp;Instruments!G$1&amp;""""&amp;":"&amp;""""&amp;Instruments!G114&amp;"""")</f>
        <v/>
      </c>
      <c r="I113" s="0" t="str">
        <f aca="false">IF(ISBLANK(Instruments!G114),"",","&amp;""""&amp;Instruments!H$1&amp;""""&amp;":"&amp;""""&amp;Instruments!H114&amp;"""")</f>
        <v/>
      </c>
      <c r="J113" s="0" t="str">
        <f aca="false">IF(ISBLANK(Instruments!I114),"",","&amp;""""&amp;Instruments!I$1&amp;""""&amp;":"&amp;""""&amp;Instruments!I114&amp;""""&amp;"}")</f>
        <v/>
      </c>
    </row>
    <row r="114" customFormat="false" ht="15" hidden="false" customHeight="false" outlineLevel="0" collapsed="false">
      <c r="A114" s="0" t="str">
        <f aca="false">_xlfn.CONCAT(B114:J114)</f>
        <v/>
      </c>
      <c r="B114" s="0" t="str">
        <f aca="false">IF(ISBLANK(Instruments!A115),"","{"&amp;""""&amp;Instruments!A$1&amp;""""&amp;":"&amp;""""&amp;Instruments!A115&amp;"""")</f>
        <v/>
      </c>
      <c r="C114" s="0" t="str">
        <f aca="false">IF(ISBLANK(Instruments!A115),"",","&amp;""""&amp;Instruments!B$1&amp;""""&amp;":"&amp;""""&amp;Instruments!B115&amp;"""")</f>
        <v/>
      </c>
      <c r="D114" s="0" t="str">
        <f aca="false">IF(ISBLANK(Instruments!B115),"",","&amp;""""&amp;Instruments!C$1&amp;""""&amp;":"&amp;""""&amp;Instruments!C115&amp;"""")</f>
        <v/>
      </c>
      <c r="E114" s="0" t="str">
        <f aca="false">IF(ISBLANK(Instruments!C115),"",","&amp;""""&amp;Instruments!D$1&amp;""""&amp;":"&amp;""""&amp;TEXT(Instruments!D115,"yyyy-mm-dd")&amp;"""")</f>
        <v/>
      </c>
      <c r="F114" s="0" t="str">
        <f aca="false">IF(ISBLANK(Instruments!D115),"",","&amp;""""&amp;Instruments!E$1&amp;""""&amp;":"&amp;""""&amp;TEXT(Instruments!E115,"yyyy-mm-dd")&amp;"""")</f>
        <v/>
      </c>
      <c r="G114" s="0" t="str">
        <f aca="false">IF(ISBLANK(Instruments!E115),"",","&amp;""""&amp;Instruments!F$1&amp;""""&amp;":"&amp;""""&amp;Instruments!F115&amp;"""")</f>
        <v/>
      </c>
      <c r="H114" s="0" t="str">
        <f aca="false">IF(ISBLANK(Instruments!F115),"",","&amp;""""&amp;Instruments!G$1&amp;""""&amp;":"&amp;""""&amp;Instruments!G115&amp;"""")</f>
        <v/>
      </c>
      <c r="I114" s="0" t="str">
        <f aca="false">IF(ISBLANK(Instruments!G115),"",","&amp;""""&amp;Instruments!H$1&amp;""""&amp;":"&amp;""""&amp;Instruments!H115&amp;"""")</f>
        <v/>
      </c>
      <c r="J114" s="0" t="str">
        <f aca="false">IF(ISBLANK(Instruments!I115),"",","&amp;""""&amp;Instruments!I$1&amp;""""&amp;":"&amp;""""&amp;Instruments!I115&amp;""""&amp;"}")</f>
        <v/>
      </c>
    </row>
    <row r="115" customFormat="false" ht="15" hidden="false" customHeight="false" outlineLevel="0" collapsed="false">
      <c r="A115" s="0" t="str">
        <f aca="false">_xlfn.CONCAT(B115:J115)</f>
        <v/>
      </c>
      <c r="B115" s="0" t="str">
        <f aca="false">IF(ISBLANK(Instruments!A116),"","{"&amp;""""&amp;Instruments!A$1&amp;""""&amp;":"&amp;""""&amp;Instruments!A116&amp;"""")</f>
        <v/>
      </c>
      <c r="C115" s="0" t="str">
        <f aca="false">IF(ISBLANK(Instruments!A116),"",","&amp;""""&amp;Instruments!B$1&amp;""""&amp;":"&amp;""""&amp;Instruments!B116&amp;"""")</f>
        <v/>
      </c>
      <c r="D115" s="0" t="str">
        <f aca="false">IF(ISBLANK(Instruments!B116),"",","&amp;""""&amp;Instruments!C$1&amp;""""&amp;":"&amp;""""&amp;Instruments!C116&amp;"""")</f>
        <v/>
      </c>
      <c r="E115" s="0" t="str">
        <f aca="false">IF(ISBLANK(Instruments!C116),"",","&amp;""""&amp;Instruments!D$1&amp;""""&amp;":"&amp;""""&amp;TEXT(Instruments!D116,"yyyy-mm-dd")&amp;"""")</f>
        <v/>
      </c>
      <c r="F115" s="0" t="str">
        <f aca="false">IF(ISBLANK(Instruments!D116),"",","&amp;""""&amp;Instruments!E$1&amp;""""&amp;":"&amp;""""&amp;TEXT(Instruments!E116,"yyyy-mm-dd")&amp;"""")</f>
        <v/>
      </c>
      <c r="G115" s="0" t="str">
        <f aca="false">IF(ISBLANK(Instruments!E116),"",","&amp;""""&amp;Instruments!F$1&amp;""""&amp;":"&amp;""""&amp;Instruments!F116&amp;"""")</f>
        <v/>
      </c>
      <c r="H115" s="0" t="str">
        <f aca="false">IF(ISBLANK(Instruments!F116),"",","&amp;""""&amp;Instruments!G$1&amp;""""&amp;":"&amp;""""&amp;Instruments!G116&amp;"""")</f>
        <v/>
      </c>
      <c r="I115" s="0" t="str">
        <f aca="false">IF(ISBLANK(Instruments!G116),"",","&amp;""""&amp;Instruments!H$1&amp;""""&amp;":"&amp;""""&amp;Instruments!H116&amp;"""")</f>
        <v/>
      </c>
      <c r="J115" s="0" t="str">
        <f aca="false">IF(ISBLANK(Instruments!I116),"",","&amp;""""&amp;Instruments!I$1&amp;""""&amp;":"&amp;""""&amp;Instruments!I116&amp;""""&amp;"}")</f>
        <v/>
      </c>
    </row>
    <row r="116" customFormat="false" ht="15" hidden="false" customHeight="false" outlineLevel="0" collapsed="false">
      <c r="A116" s="0" t="str">
        <f aca="false">_xlfn.CONCAT(B116:J116)</f>
        <v/>
      </c>
      <c r="B116" s="0" t="str">
        <f aca="false">IF(ISBLANK(Instruments!A117),"","{"&amp;""""&amp;Instruments!A$1&amp;""""&amp;":"&amp;""""&amp;Instruments!A117&amp;"""")</f>
        <v/>
      </c>
      <c r="C116" s="0" t="str">
        <f aca="false">IF(ISBLANK(Instruments!A117),"",","&amp;""""&amp;Instruments!B$1&amp;""""&amp;":"&amp;""""&amp;Instruments!B117&amp;"""")</f>
        <v/>
      </c>
      <c r="D116" s="0" t="str">
        <f aca="false">IF(ISBLANK(Instruments!B117),"",","&amp;""""&amp;Instruments!C$1&amp;""""&amp;":"&amp;""""&amp;Instruments!C117&amp;"""")</f>
        <v/>
      </c>
      <c r="E116" s="0" t="str">
        <f aca="false">IF(ISBLANK(Instruments!C117),"",","&amp;""""&amp;Instruments!D$1&amp;""""&amp;":"&amp;""""&amp;TEXT(Instruments!D117,"yyyy-mm-dd")&amp;"""")</f>
        <v/>
      </c>
      <c r="F116" s="0" t="str">
        <f aca="false">IF(ISBLANK(Instruments!D117),"",","&amp;""""&amp;Instruments!E$1&amp;""""&amp;":"&amp;""""&amp;TEXT(Instruments!E117,"yyyy-mm-dd")&amp;"""")</f>
        <v/>
      </c>
      <c r="G116" s="0" t="str">
        <f aca="false">IF(ISBLANK(Instruments!E117),"",","&amp;""""&amp;Instruments!F$1&amp;""""&amp;":"&amp;""""&amp;Instruments!F117&amp;"""")</f>
        <v/>
      </c>
      <c r="H116" s="0" t="str">
        <f aca="false">IF(ISBLANK(Instruments!F117),"",","&amp;""""&amp;Instruments!G$1&amp;""""&amp;":"&amp;""""&amp;Instruments!G117&amp;"""")</f>
        <v/>
      </c>
      <c r="I116" s="0" t="str">
        <f aca="false">IF(ISBLANK(Instruments!G117),"",","&amp;""""&amp;Instruments!H$1&amp;""""&amp;":"&amp;""""&amp;Instruments!H117&amp;"""")</f>
        <v/>
      </c>
      <c r="J116" s="0" t="str">
        <f aca="false">IF(ISBLANK(Instruments!I117),"",","&amp;""""&amp;Instruments!I$1&amp;""""&amp;":"&amp;""""&amp;Instruments!I117&amp;""""&amp;"}")</f>
        <v/>
      </c>
    </row>
    <row r="117" customFormat="false" ht="15" hidden="false" customHeight="false" outlineLevel="0" collapsed="false">
      <c r="A117" s="0" t="str">
        <f aca="false">_xlfn.CONCAT(B117:J117)</f>
        <v/>
      </c>
      <c r="B117" s="0" t="str">
        <f aca="false">IF(ISBLANK(Instruments!A118),"","{"&amp;""""&amp;Instruments!A$1&amp;""""&amp;":"&amp;""""&amp;Instruments!A118&amp;"""")</f>
        <v/>
      </c>
      <c r="C117" s="0" t="str">
        <f aca="false">IF(ISBLANK(Instruments!A118),"",","&amp;""""&amp;Instruments!B$1&amp;""""&amp;":"&amp;""""&amp;Instruments!B118&amp;"""")</f>
        <v/>
      </c>
      <c r="D117" s="0" t="str">
        <f aca="false">IF(ISBLANK(Instruments!B118),"",","&amp;""""&amp;Instruments!C$1&amp;""""&amp;":"&amp;""""&amp;Instruments!C118&amp;"""")</f>
        <v/>
      </c>
      <c r="E117" s="0" t="str">
        <f aca="false">IF(ISBLANK(Instruments!C118),"",","&amp;""""&amp;Instruments!D$1&amp;""""&amp;":"&amp;""""&amp;TEXT(Instruments!D118,"yyyy-mm-dd")&amp;"""")</f>
        <v/>
      </c>
      <c r="F117" s="0" t="str">
        <f aca="false">IF(ISBLANK(Instruments!D118),"",","&amp;""""&amp;Instruments!E$1&amp;""""&amp;":"&amp;""""&amp;TEXT(Instruments!E118,"yyyy-mm-dd")&amp;"""")</f>
        <v/>
      </c>
      <c r="G117" s="0" t="str">
        <f aca="false">IF(ISBLANK(Instruments!E118),"",","&amp;""""&amp;Instruments!F$1&amp;""""&amp;":"&amp;""""&amp;Instruments!F118&amp;"""")</f>
        <v/>
      </c>
      <c r="H117" s="0" t="str">
        <f aca="false">IF(ISBLANK(Instruments!F118),"",","&amp;""""&amp;Instruments!G$1&amp;""""&amp;":"&amp;""""&amp;Instruments!G118&amp;"""")</f>
        <v/>
      </c>
      <c r="I117" s="0" t="str">
        <f aca="false">IF(ISBLANK(Instruments!G118),"",","&amp;""""&amp;Instruments!H$1&amp;""""&amp;":"&amp;""""&amp;Instruments!H118&amp;"""")</f>
        <v/>
      </c>
      <c r="J117" s="0" t="str">
        <f aca="false">IF(ISBLANK(Instruments!I118),"",","&amp;""""&amp;Instruments!I$1&amp;""""&amp;":"&amp;""""&amp;Instruments!I118&amp;""""&amp;"}")</f>
        <v/>
      </c>
    </row>
    <row r="118" customFormat="false" ht="15" hidden="false" customHeight="false" outlineLevel="0" collapsed="false">
      <c r="A118" s="0" t="str">
        <f aca="false">_xlfn.CONCAT(B118:J118)</f>
        <v/>
      </c>
      <c r="B118" s="0" t="str">
        <f aca="false">IF(ISBLANK(Instruments!A119),"","{"&amp;""""&amp;Instruments!A$1&amp;""""&amp;":"&amp;""""&amp;Instruments!A119&amp;"""")</f>
        <v/>
      </c>
      <c r="C118" s="0" t="str">
        <f aca="false">IF(ISBLANK(Instruments!A119),"",","&amp;""""&amp;Instruments!B$1&amp;""""&amp;":"&amp;""""&amp;Instruments!B119&amp;"""")</f>
        <v/>
      </c>
      <c r="D118" s="0" t="str">
        <f aca="false">IF(ISBLANK(Instruments!B119),"",","&amp;""""&amp;Instruments!C$1&amp;""""&amp;":"&amp;""""&amp;Instruments!C119&amp;"""")</f>
        <v/>
      </c>
      <c r="E118" s="0" t="str">
        <f aca="false">IF(ISBLANK(Instruments!C119),"",","&amp;""""&amp;Instruments!D$1&amp;""""&amp;":"&amp;""""&amp;TEXT(Instruments!D119,"yyyy-mm-dd")&amp;"""")</f>
        <v/>
      </c>
      <c r="F118" s="0" t="str">
        <f aca="false">IF(ISBLANK(Instruments!D119),"",","&amp;""""&amp;Instruments!E$1&amp;""""&amp;":"&amp;""""&amp;TEXT(Instruments!E119,"yyyy-mm-dd")&amp;"""")</f>
        <v/>
      </c>
      <c r="G118" s="0" t="str">
        <f aca="false">IF(ISBLANK(Instruments!E119),"",","&amp;""""&amp;Instruments!F$1&amp;""""&amp;":"&amp;""""&amp;Instruments!F119&amp;"""")</f>
        <v/>
      </c>
      <c r="H118" s="0" t="str">
        <f aca="false">IF(ISBLANK(Instruments!F119),"",","&amp;""""&amp;Instruments!G$1&amp;""""&amp;":"&amp;""""&amp;Instruments!G119&amp;"""")</f>
        <v/>
      </c>
      <c r="I118" s="0" t="str">
        <f aca="false">IF(ISBLANK(Instruments!G119),"",","&amp;""""&amp;Instruments!H$1&amp;""""&amp;":"&amp;""""&amp;Instruments!H119&amp;"""")</f>
        <v/>
      </c>
      <c r="J118" s="0" t="str">
        <f aca="false">IF(ISBLANK(Instruments!I119),"",","&amp;""""&amp;Instruments!I$1&amp;""""&amp;":"&amp;""""&amp;Instruments!I119&amp;""""&amp;"}")</f>
        <v/>
      </c>
    </row>
    <row r="119" customFormat="false" ht="15" hidden="false" customHeight="false" outlineLevel="0" collapsed="false">
      <c r="A119" s="0" t="str">
        <f aca="false">_xlfn.CONCAT(B119:J119)</f>
        <v/>
      </c>
      <c r="B119" s="0" t="str">
        <f aca="false">IF(ISBLANK(Instruments!A120),"","{"&amp;""""&amp;Instruments!A$1&amp;""""&amp;":"&amp;""""&amp;Instruments!A120&amp;"""")</f>
        <v/>
      </c>
      <c r="C119" s="0" t="str">
        <f aca="false">IF(ISBLANK(Instruments!A120),"",","&amp;""""&amp;Instruments!B$1&amp;""""&amp;":"&amp;""""&amp;Instruments!B120&amp;"""")</f>
        <v/>
      </c>
      <c r="D119" s="0" t="str">
        <f aca="false">IF(ISBLANK(Instruments!B120),"",","&amp;""""&amp;Instruments!C$1&amp;""""&amp;":"&amp;""""&amp;Instruments!C120&amp;"""")</f>
        <v/>
      </c>
      <c r="E119" s="0" t="str">
        <f aca="false">IF(ISBLANK(Instruments!C120),"",","&amp;""""&amp;Instruments!D$1&amp;""""&amp;":"&amp;""""&amp;TEXT(Instruments!D120,"yyyy-mm-dd")&amp;"""")</f>
        <v/>
      </c>
      <c r="F119" s="0" t="str">
        <f aca="false">IF(ISBLANK(Instruments!D120),"",","&amp;""""&amp;Instruments!E$1&amp;""""&amp;":"&amp;""""&amp;TEXT(Instruments!E120,"yyyy-mm-dd")&amp;"""")</f>
        <v/>
      </c>
      <c r="G119" s="0" t="str">
        <f aca="false">IF(ISBLANK(Instruments!E120),"",","&amp;""""&amp;Instruments!F$1&amp;""""&amp;":"&amp;""""&amp;Instruments!F120&amp;"""")</f>
        <v/>
      </c>
      <c r="H119" s="0" t="str">
        <f aca="false">IF(ISBLANK(Instruments!F120),"",","&amp;""""&amp;Instruments!G$1&amp;""""&amp;":"&amp;""""&amp;Instruments!G120&amp;"""")</f>
        <v/>
      </c>
      <c r="I119" s="0" t="str">
        <f aca="false">IF(ISBLANK(Instruments!G120),"",","&amp;""""&amp;Instruments!H$1&amp;""""&amp;":"&amp;""""&amp;Instruments!H120&amp;"""")</f>
        <v/>
      </c>
      <c r="J119" s="0" t="str">
        <f aca="false">IF(ISBLANK(Instruments!I120),"",","&amp;""""&amp;Instruments!I$1&amp;""""&amp;":"&amp;""""&amp;Instruments!I120&amp;""""&amp;"}")</f>
        <v/>
      </c>
    </row>
    <row r="120" customFormat="false" ht="15" hidden="false" customHeight="false" outlineLevel="0" collapsed="false">
      <c r="A120" s="0" t="str">
        <f aca="false">_xlfn.CONCAT(B120:J120)</f>
        <v/>
      </c>
      <c r="B120" s="0" t="str">
        <f aca="false">IF(ISBLANK(Instruments!A121),"","{"&amp;""""&amp;Instruments!A$1&amp;""""&amp;":"&amp;""""&amp;Instruments!A121&amp;"""")</f>
        <v/>
      </c>
      <c r="C120" s="0" t="str">
        <f aca="false">IF(ISBLANK(Instruments!A121),"",","&amp;""""&amp;Instruments!B$1&amp;""""&amp;":"&amp;""""&amp;Instruments!B121&amp;"""")</f>
        <v/>
      </c>
      <c r="D120" s="0" t="str">
        <f aca="false">IF(ISBLANK(Instruments!B121),"",","&amp;""""&amp;Instruments!C$1&amp;""""&amp;":"&amp;""""&amp;Instruments!C121&amp;"""")</f>
        <v/>
      </c>
      <c r="E120" s="0" t="str">
        <f aca="false">IF(ISBLANK(Instruments!C121),"",","&amp;""""&amp;Instruments!D$1&amp;""""&amp;":"&amp;""""&amp;TEXT(Instruments!D121,"yyyy-mm-dd")&amp;"""")</f>
        <v/>
      </c>
      <c r="F120" s="0" t="str">
        <f aca="false">IF(ISBLANK(Instruments!D121),"",","&amp;""""&amp;Instruments!E$1&amp;""""&amp;":"&amp;""""&amp;TEXT(Instruments!E121,"yyyy-mm-dd")&amp;"""")</f>
        <v/>
      </c>
      <c r="G120" s="0" t="str">
        <f aca="false">IF(ISBLANK(Instruments!E121),"",","&amp;""""&amp;Instruments!F$1&amp;""""&amp;":"&amp;""""&amp;Instruments!F121&amp;"""")</f>
        <v/>
      </c>
      <c r="H120" s="0" t="str">
        <f aca="false">IF(ISBLANK(Instruments!F121),"",","&amp;""""&amp;Instruments!G$1&amp;""""&amp;":"&amp;""""&amp;Instruments!G121&amp;"""")</f>
        <v/>
      </c>
      <c r="I120" s="0" t="str">
        <f aca="false">IF(ISBLANK(Instruments!G121),"",","&amp;""""&amp;Instruments!H$1&amp;""""&amp;":"&amp;""""&amp;Instruments!H121&amp;"""")</f>
        <v/>
      </c>
      <c r="J120" s="0" t="str">
        <f aca="false">IF(ISBLANK(Instruments!I121),"",","&amp;""""&amp;Instruments!I$1&amp;""""&amp;":"&amp;""""&amp;Instruments!I121&amp;""""&amp;"}")</f>
        <v/>
      </c>
    </row>
    <row r="121" customFormat="false" ht="15" hidden="false" customHeight="false" outlineLevel="0" collapsed="false">
      <c r="A121" s="0" t="str">
        <f aca="false">_xlfn.CONCAT(B121:J121)</f>
        <v/>
      </c>
      <c r="B121" s="0" t="str">
        <f aca="false">IF(ISBLANK(Instruments!A122),"","{"&amp;""""&amp;Instruments!A$1&amp;""""&amp;":"&amp;""""&amp;Instruments!A122&amp;"""")</f>
        <v/>
      </c>
      <c r="C121" s="0" t="str">
        <f aca="false">IF(ISBLANK(Instruments!A122),"",","&amp;""""&amp;Instruments!B$1&amp;""""&amp;":"&amp;""""&amp;Instruments!B122&amp;"""")</f>
        <v/>
      </c>
      <c r="D121" s="0" t="str">
        <f aca="false">IF(ISBLANK(Instruments!B122),"",","&amp;""""&amp;Instruments!C$1&amp;""""&amp;":"&amp;""""&amp;Instruments!C122&amp;"""")</f>
        <v/>
      </c>
      <c r="E121" s="0" t="str">
        <f aca="false">IF(ISBLANK(Instruments!C122),"",","&amp;""""&amp;Instruments!D$1&amp;""""&amp;":"&amp;""""&amp;TEXT(Instruments!D122,"yyyy-mm-dd")&amp;"""")</f>
        <v/>
      </c>
      <c r="F121" s="0" t="str">
        <f aca="false">IF(ISBLANK(Instruments!D122),"",","&amp;""""&amp;Instruments!E$1&amp;""""&amp;":"&amp;""""&amp;TEXT(Instruments!E122,"yyyy-mm-dd")&amp;"""")</f>
        <v/>
      </c>
      <c r="G121" s="0" t="str">
        <f aca="false">IF(ISBLANK(Instruments!E122),"",","&amp;""""&amp;Instruments!F$1&amp;""""&amp;":"&amp;""""&amp;Instruments!F122&amp;"""")</f>
        <v/>
      </c>
      <c r="H121" s="0" t="str">
        <f aca="false">IF(ISBLANK(Instruments!F122),"",","&amp;""""&amp;Instruments!G$1&amp;""""&amp;":"&amp;""""&amp;Instruments!G122&amp;"""")</f>
        <v/>
      </c>
      <c r="I121" s="0" t="str">
        <f aca="false">IF(ISBLANK(Instruments!G122),"",","&amp;""""&amp;Instruments!H$1&amp;""""&amp;":"&amp;""""&amp;Instruments!H122&amp;"""")</f>
        <v/>
      </c>
      <c r="J121" s="0" t="str">
        <f aca="false">IF(ISBLANK(Instruments!I122),"",","&amp;""""&amp;Instruments!I$1&amp;""""&amp;":"&amp;""""&amp;Instruments!I122&amp;""""&amp;"}")</f>
        <v/>
      </c>
    </row>
    <row r="122" customFormat="false" ht="15" hidden="false" customHeight="false" outlineLevel="0" collapsed="false">
      <c r="A122" s="0" t="str">
        <f aca="false">_xlfn.CONCAT(B122:J122)</f>
        <v/>
      </c>
      <c r="B122" s="0" t="str">
        <f aca="false">IF(ISBLANK(Instruments!A123),"","{"&amp;""""&amp;Instruments!A$1&amp;""""&amp;":"&amp;""""&amp;Instruments!A123&amp;"""")</f>
        <v/>
      </c>
      <c r="C122" s="0" t="str">
        <f aca="false">IF(ISBLANK(Instruments!A123),"",","&amp;""""&amp;Instruments!B$1&amp;""""&amp;":"&amp;""""&amp;Instruments!B123&amp;"""")</f>
        <v/>
      </c>
      <c r="D122" s="0" t="str">
        <f aca="false">IF(ISBLANK(Instruments!B123),"",","&amp;""""&amp;Instruments!C$1&amp;""""&amp;":"&amp;""""&amp;Instruments!C123&amp;"""")</f>
        <v/>
      </c>
      <c r="E122" s="0" t="str">
        <f aca="false">IF(ISBLANK(Instruments!C123),"",","&amp;""""&amp;Instruments!D$1&amp;""""&amp;":"&amp;""""&amp;TEXT(Instruments!D123,"yyyy-mm-dd")&amp;"""")</f>
        <v/>
      </c>
      <c r="F122" s="0" t="str">
        <f aca="false">IF(ISBLANK(Instruments!D123),"",","&amp;""""&amp;Instruments!E$1&amp;""""&amp;":"&amp;""""&amp;TEXT(Instruments!E123,"yyyy-mm-dd")&amp;"""")</f>
        <v/>
      </c>
      <c r="G122" s="0" t="str">
        <f aca="false">IF(ISBLANK(Instruments!E123),"",","&amp;""""&amp;Instruments!F$1&amp;""""&amp;":"&amp;""""&amp;Instruments!F123&amp;"""")</f>
        <v/>
      </c>
      <c r="H122" s="0" t="str">
        <f aca="false">IF(ISBLANK(Instruments!F123),"",","&amp;""""&amp;Instruments!G$1&amp;""""&amp;":"&amp;""""&amp;Instruments!G123&amp;"""")</f>
        <v/>
      </c>
      <c r="I122" s="0" t="str">
        <f aca="false">IF(ISBLANK(Instruments!G123),"",","&amp;""""&amp;Instruments!H$1&amp;""""&amp;":"&amp;""""&amp;Instruments!H123&amp;"""")</f>
        <v/>
      </c>
      <c r="J122" s="0" t="str">
        <f aca="false">IF(ISBLANK(Instruments!I123),"",","&amp;""""&amp;Instruments!I$1&amp;""""&amp;":"&amp;""""&amp;Instruments!I123&amp;""""&amp;"}")</f>
        <v/>
      </c>
    </row>
    <row r="123" customFormat="false" ht="15" hidden="false" customHeight="false" outlineLevel="0" collapsed="false">
      <c r="A123" s="0" t="str">
        <f aca="false">_xlfn.CONCAT(B123:J123)</f>
        <v/>
      </c>
      <c r="B123" s="0" t="str">
        <f aca="false">IF(ISBLANK(Instruments!A124),"","{"&amp;""""&amp;Instruments!A$1&amp;""""&amp;":"&amp;""""&amp;Instruments!A124&amp;"""")</f>
        <v/>
      </c>
      <c r="C123" s="0" t="str">
        <f aca="false">IF(ISBLANK(Instruments!A124),"",","&amp;""""&amp;Instruments!B$1&amp;""""&amp;":"&amp;""""&amp;Instruments!B124&amp;"""")</f>
        <v/>
      </c>
      <c r="D123" s="0" t="str">
        <f aca="false">IF(ISBLANK(Instruments!B124),"",","&amp;""""&amp;Instruments!C$1&amp;""""&amp;":"&amp;""""&amp;Instruments!C124&amp;"""")</f>
        <v/>
      </c>
      <c r="E123" s="0" t="str">
        <f aca="false">IF(ISBLANK(Instruments!C124),"",","&amp;""""&amp;Instruments!D$1&amp;""""&amp;":"&amp;""""&amp;TEXT(Instruments!D124,"yyyy-mm-dd")&amp;"""")</f>
        <v/>
      </c>
      <c r="F123" s="0" t="str">
        <f aca="false">IF(ISBLANK(Instruments!D124),"",","&amp;""""&amp;Instruments!E$1&amp;""""&amp;":"&amp;""""&amp;TEXT(Instruments!E124,"yyyy-mm-dd")&amp;"""")</f>
        <v/>
      </c>
      <c r="G123" s="0" t="str">
        <f aca="false">IF(ISBLANK(Instruments!E124),"",","&amp;""""&amp;Instruments!F$1&amp;""""&amp;":"&amp;""""&amp;Instruments!F124&amp;"""")</f>
        <v/>
      </c>
      <c r="H123" s="0" t="str">
        <f aca="false">IF(ISBLANK(Instruments!F124),"",","&amp;""""&amp;Instruments!G$1&amp;""""&amp;":"&amp;""""&amp;Instruments!G124&amp;"""")</f>
        <v/>
      </c>
      <c r="I123" s="0" t="str">
        <f aca="false">IF(ISBLANK(Instruments!G124),"",","&amp;""""&amp;Instruments!H$1&amp;""""&amp;":"&amp;""""&amp;Instruments!H124&amp;"""")</f>
        <v/>
      </c>
      <c r="J123" s="0" t="str">
        <f aca="false">IF(ISBLANK(Instruments!I124),"",","&amp;""""&amp;Instruments!I$1&amp;""""&amp;":"&amp;""""&amp;Instruments!I124&amp;""""&amp;"}")</f>
        <v/>
      </c>
    </row>
    <row r="124" customFormat="false" ht="15" hidden="false" customHeight="false" outlineLevel="0" collapsed="false">
      <c r="A124" s="0" t="str">
        <f aca="false">_xlfn.CONCAT(B124:J124)</f>
        <v/>
      </c>
      <c r="B124" s="0" t="str">
        <f aca="false">IF(ISBLANK(Instruments!A125),"","{"&amp;""""&amp;Instruments!A$1&amp;""""&amp;":"&amp;""""&amp;Instruments!A125&amp;"""")</f>
        <v/>
      </c>
      <c r="C124" s="0" t="str">
        <f aca="false">IF(ISBLANK(Instruments!A125),"",","&amp;""""&amp;Instruments!B$1&amp;""""&amp;":"&amp;""""&amp;Instruments!B125&amp;"""")</f>
        <v/>
      </c>
      <c r="D124" s="0" t="str">
        <f aca="false">IF(ISBLANK(Instruments!B125),"",","&amp;""""&amp;Instruments!C$1&amp;""""&amp;":"&amp;""""&amp;Instruments!C125&amp;"""")</f>
        <v/>
      </c>
      <c r="E124" s="0" t="str">
        <f aca="false">IF(ISBLANK(Instruments!C125),"",","&amp;""""&amp;Instruments!D$1&amp;""""&amp;":"&amp;""""&amp;TEXT(Instruments!D125,"yyyy-mm-dd")&amp;"""")</f>
        <v/>
      </c>
      <c r="F124" s="0" t="str">
        <f aca="false">IF(ISBLANK(Instruments!D125),"",","&amp;""""&amp;Instruments!E$1&amp;""""&amp;":"&amp;""""&amp;TEXT(Instruments!E125,"yyyy-mm-dd")&amp;"""")</f>
        <v/>
      </c>
      <c r="G124" s="0" t="str">
        <f aca="false">IF(ISBLANK(Instruments!E125),"",","&amp;""""&amp;Instruments!F$1&amp;""""&amp;":"&amp;""""&amp;Instruments!F125&amp;"""")</f>
        <v/>
      </c>
      <c r="H124" s="0" t="str">
        <f aca="false">IF(ISBLANK(Instruments!F125),"",","&amp;""""&amp;Instruments!G$1&amp;""""&amp;":"&amp;""""&amp;Instruments!G125&amp;"""")</f>
        <v/>
      </c>
      <c r="I124" s="0" t="str">
        <f aca="false">IF(ISBLANK(Instruments!G125),"",","&amp;""""&amp;Instruments!H$1&amp;""""&amp;":"&amp;""""&amp;Instruments!H125&amp;"""")</f>
        <v/>
      </c>
      <c r="J124" s="0" t="str">
        <f aca="false">IF(ISBLANK(Instruments!I125),"",","&amp;""""&amp;Instruments!I$1&amp;""""&amp;":"&amp;""""&amp;Instruments!I125&amp;""""&amp;"}")</f>
        <v/>
      </c>
    </row>
    <row r="125" customFormat="false" ht="15" hidden="false" customHeight="false" outlineLevel="0" collapsed="false">
      <c r="A125" s="0" t="str">
        <f aca="false">_xlfn.CONCAT(B125:J125)</f>
        <v/>
      </c>
      <c r="B125" s="0" t="str">
        <f aca="false">IF(ISBLANK(Instruments!A126),"","{"&amp;""""&amp;Instruments!A$1&amp;""""&amp;":"&amp;""""&amp;Instruments!A126&amp;"""")</f>
        <v/>
      </c>
      <c r="C125" s="0" t="str">
        <f aca="false">IF(ISBLANK(Instruments!A126),"",","&amp;""""&amp;Instruments!B$1&amp;""""&amp;":"&amp;""""&amp;Instruments!B126&amp;"""")</f>
        <v/>
      </c>
      <c r="D125" s="0" t="str">
        <f aca="false">IF(ISBLANK(Instruments!B126),"",","&amp;""""&amp;Instruments!C$1&amp;""""&amp;":"&amp;""""&amp;Instruments!C126&amp;"""")</f>
        <v/>
      </c>
      <c r="E125" s="0" t="str">
        <f aca="false">IF(ISBLANK(Instruments!C126),"",","&amp;""""&amp;Instruments!D$1&amp;""""&amp;":"&amp;""""&amp;TEXT(Instruments!D126,"yyyy-mm-dd")&amp;"""")</f>
        <v/>
      </c>
      <c r="F125" s="0" t="str">
        <f aca="false">IF(ISBLANK(Instruments!D126),"",","&amp;""""&amp;Instruments!E$1&amp;""""&amp;":"&amp;""""&amp;TEXT(Instruments!E126,"yyyy-mm-dd")&amp;"""")</f>
        <v/>
      </c>
      <c r="G125" s="0" t="str">
        <f aca="false">IF(ISBLANK(Instruments!E126),"",","&amp;""""&amp;Instruments!F$1&amp;""""&amp;":"&amp;""""&amp;Instruments!F126&amp;"""")</f>
        <v/>
      </c>
      <c r="H125" s="0" t="str">
        <f aca="false">IF(ISBLANK(Instruments!F126),"",","&amp;""""&amp;Instruments!G$1&amp;""""&amp;":"&amp;""""&amp;Instruments!G126&amp;"""")</f>
        <v/>
      </c>
      <c r="I125" s="0" t="str">
        <f aca="false">IF(ISBLANK(Instruments!G126),"",","&amp;""""&amp;Instruments!H$1&amp;""""&amp;":"&amp;""""&amp;Instruments!H126&amp;"""")</f>
        <v/>
      </c>
      <c r="J125" s="0" t="str">
        <f aca="false">IF(ISBLANK(Instruments!I126),"",","&amp;""""&amp;Instruments!I$1&amp;""""&amp;":"&amp;""""&amp;Instruments!I126&amp;""""&amp;"}")</f>
        <v/>
      </c>
    </row>
    <row r="126" customFormat="false" ht="15" hidden="false" customHeight="false" outlineLevel="0" collapsed="false">
      <c r="A126" s="0" t="str">
        <f aca="false">_xlfn.CONCAT(B126:J126)</f>
        <v/>
      </c>
      <c r="B126" s="0" t="str">
        <f aca="false">IF(ISBLANK(Instruments!A127),"","{"&amp;""""&amp;Instruments!A$1&amp;""""&amp;":"&amp;""""&amp;Instruments!A127&amp;"""")</f>
        <v/>
      </c>
      <c r="C126" s="0" t="str">
        <f aca="false">IF(ISBLANK(Instruments!A127),"",","&amp;""""&amp;Instruments!B$1&amp;""""&amp;":"&amp;""""&amp;Instruments!B127&amp;"""")</f>
        <v/>
      </c>
      <c r="D126" s="0" t="str">
        <f aca="false">IF(ISBLANK(Instruments!B127),"",","&amp;""""&amp;Instruments!C$1&amp;""""&amp;":"&amp;""""&amp;Instruments!C127&amp;"""")</f>
        <v/>
      </c>
      <c r="E126" s="0" t="str">
        <f aca="false">IF(ISBLANK(Instruments!C127),"",","&amp;""""&amp;Instruments!D$1&amp;""""&amp;":"&amp;""""&amp;TEXT(Instruments!D127,"yyyy-mm-dd")&amp;"""")</f>
        <v/>
      </c>
      <c r="F126" s="0" t="str">
        <f aca="false">IF(ISBLANK(Instruments!D127),"",","&amp;""""&amp;Instruments!E$1&amp;""""&amp;":"&amp;""""&amp;TEXT(Instruments!E127,"yyyy-mm-dd")&amp;"""")</f>
        <v/>
      </c>
      <c r="G126" s="0" t="str">
        <f aca="false">IF(ISBLANK(Instruments!E127),"",","&amp;""""&amp;Instruments!F$1&amp;""""&amp;":"&amp;""""&amp;Instruments!F127&amp;"""")</f>
        <v/>
      </c>
      <c r="H126" s="0" t="str">
        <f aca="false">IF(ISBLANK(Instruments!F127),"",","&amp;""""&amp;Instruments!G$1&amp;""""&amp;":"&amp;""""&amp;Instruments!G127&amp;"""")</f>
        <v/>
      </c>
      <c r="I126" s="0" t="str">
        <f aca="false">IF(ISBLANK(Instruments!G127),"",","&amp;""""&amp;Instruments!H$1&amp;""""&amp;":"&amp;""""&amp;Instruments!H127&amp;"""")</f>
        <v/>
      </c>
      <c r="J126" s="0" t="str">
        <f aca="false">IF(ISBLANK(Instruments!I127),"",","&amp;""""&amp;Instruments!I$1&amp;""""&amp;":"&amp;""""&amp;Instruments!I127&amp;""""&amp;"}")</f>
        <v/>
      </c>
    </row>
    <row r="127" customFormat="false" ht="15" hidden="false" customHeight="false" outlineLevel="0" collapsed="false">
      <c r="A127" s="0" t="str">
        <f aca="false">_xlfn.CONCAT(B127:J127)</f>
        <v/>
      </c>
      <c r="B127" s="0" t="str">
        <f aca="false">IF(ISBLANK(Instruments!A128),"","{"&amp;""""&amp;Instruments!A$1&amp;""""&amp;":"&amp;""""&amp;Instruments!A128&amp;"""")</f>
        <v/>
      </c>
      <c r="C127" s="0" t="str">
        <f aca="false">IF(ISBLANK(Instruments!A128),"",","&amp;""""&amp;Instruments!B$1&amp;""""&amp;":"&amp;""""&amp;Instruments!B128&amp;"""")</f>
        <v/>
      </c>
      <c r="D127" s="0" t="str">
        <f aca="false">IF(ISBLANK(Instruments!B128),"",","&amp;""""&amp;Instruments!C$1&amp;""""&amp;":"&amp;""""&amp;Instruments!C128&amp;"""")</f>
        <v/>
      </c>
      <c r="E127" s="0" t="str">
        <f aca="false">IF(ISBLANK(Instruments!C128),"",","&amp;""""&amp;Instruments!D$1&amp;""""&amp;":"&amp;""""&amp;TEXT(Instruments!D128,"yyyy-mm-dd")&amp;"""")</f>
        <v/>
      </c>
      <c r="F127" s="0" t="str">
        <f aca="false">IF(ISBLANK(Instruments!D128),"",","&amp;""""&amp;Instruments!E$1&amp;""""&amp;":"&amp;""""&amp;TEXT(Instruments!E128,"yyyy-mm-dd")&amp;"""")</f>
        <v/>
      </c>
      <c r="G127" s="0" t="str">
        <f aca="false">IF(ISBLANK(Instruments!E128),"",","&amp;""""&amp;Instruments!F$1&amp;""""&amp;":"&amp;""""&amp;Instruments!F128&amp;"""")</f>
        <v/>
      </c>
      <c r="H127" s="0" t="str">
        <f aca="false">IF(ISBLANK(Instruments!F128),"",","&amp;""""&amp;Instruments!G$1&amp;""""&amp;":"&amp;""""&amp;Instruments!G128&amp;"""")</f>
        <v/>
      </c>
      <c r="I127" s="0" t="str">
        <f aca="false">IF(ISBLANK(Instruments!G128),"",","&amp;""""&amp;Instruments!H$1&amp;""""&amp;":"&amp;""""&amp;Instruments!H128&amp;"""")</f>
        <v/>
      </c>
      <c r="J127" s="0" t="str">
        <f aca="false">IF(ISBLANK(Instruments!I128),"",","&amp;""""&amp;Instruments!I$1&amp;""""&amp;":"&amp;""""&amp;Instruments!I128&amp;""""&amp;"}")</f>
        <v/>
      </c>
    </row>
    <row r="128" customFormat="false" ht="15" hidden="false" customHeight="false" outlineLevel="0" collapsed="false">
      <c r="A128" s="0" t="str">
        <f aca="false">_xlfn.CONCAT(B128:J128)</f>
        <v/>
      </c>
      <c r="B128" s="0" t="str">
        <f aca="false">IF(ISBLANK(Instruments!A129),"","{"&amp;""""&amp;Instruments!A$1&amp;""""&amp;":"&amp;""""&amp;Instruments!A129&amp;"""")</f>
        <v/>
      </c>
      <c r="C128" s="0" t="str">
        <f aca="false">IF(ISBLANK(Instruments!A129),"",","&amp;""""&amp;Instruments!B$1&amp;""""&amp;":"&amp;""""&amp;Instruments!B129&amp;"""")</f>
        <v/>
      </c>
      <c r="D128" s="0" t="str">
        <f aca="false">IF(ISBLANK(Instruments!B129),"",","&amp;""""&amp;Instruments!C$1&amp;""""&amp;":"&amp;""""&amp;Instruments!C129&amp;"""")</f>
        <v/>
      </c>
      <c r="E128" s="0" t="str">
        <f aca="false">IF(ISBLANK(Instruments!C129),"",","&amp;""""&amp;Instruments!D$1&amp;""""&amp;":"&amp;""""&amp;TEXT(Instruments!D129,"yyyy-mm-dd")&amp;"""")</f>
        <v/>
      </c>
      <c r="F128" s="0" t="str">
        <f aca="false">IF(ISBLANK(Instruments!D129),"",","&amp;""""&amp;Instruments!E$1&amp;""""&amp;":"&amp;""""&amp;TEXT(Instruments!E129,"yyyy-mm-dd")&amp;"""")</f>
        <v/>
      </c>
      <c r="G128" s="0" t="str">
        <f aca="false">IF(ISBLANK(Instruments!E129),"",","&amp;""""&amp;Instruments!F$1&amp;""""&amp;":"&amp;""""&amp;Instruments!F129&amp;"""")</f>
        <v/>
      </c>
      <c r="H128" s="0" t="str">
        <f aca="false">IF(ISBLANK(Instruments!F129),"",","&amp;""""&amp;Instruments!G$1&amp;""""&amp;":"&amp;""""&amp;Instruments!G129&amp;"""")</f>
        <v/>
      </c>
      <c r="I128" s="0" t="str">
        <f aca="false">IF(ISBLANK(Instruments!G129),"",","&amp;""""&amp;Instruments!H$1&amp;""""&amp;":"&amp;""""&amp;Instruments!H129&amp;"""")</f>
        <v/>
      </c>
      <c r="J128" s="0" t="str">
        <f aca="false">IF(ISBLANK(Instruments!I129),"",","&amp;""""&amp;Instruments!I$1&amp;""""&amp;":"&amp;""""&amp;Instruments!I129&amp;""""&amp;"}")</f>
        <v/>
      </c>
    </row>
    <row r="129" customFormat="false" ht="15" hidden="false" customHeight="false" outlineLevel="0" collapsed="false">
      <c r="A129" s="0" t="str">
        <f aca="false">_xlfn.CONCAT(B129:J129)</f>
        <v/>
      </c>
      <c r="B129" s="0" t="str">
        <f aca="false">IF(ISBLANK(Instruments!A130),"","{"&amp;""""&amp;Instruments!A$1&amp;""""&amp;":"&amp;""""&amp;Instruments!A130&amp;"""")</f>
        <v/>
      </c>
      <c r="C129" s="0" t="str">
        <f aca="false">IF(ISBLANK(Instruments!A130),"",","&amp;""""&amp;Instruments!B$1&amp;""""&amp;":"&amp;""""&amp;Instruments!B130&amp;"""")</f>
        <v/>
      </c>
      <c r="D129" s="0" t="str">
        <f aca="false">IF(ISBLANK(Instruments!B130),"",","&amp;""""&amp;Instruments!C$1&amp;""""&amp;":"&amp;""""&amp;Instruments!C130&amp;"""")</f>
        <v/>
      </c>
      <c r="E129" s="0" t="str">
        <f aca="false">IF(ISBLANK(Instruments!C130),"",","&amp;""""&amp;Instruments!D$1&amp;""""&amp;":"&amp;""""&amp;TEXT(Instruments!D130,"yyyy-mm-dd")&amp;"""")</f>
        <v/>
      </c>
      <c r="F129" s="0" t="str">
        <f aca="false">IF(ISBLANK(Instruments!D130),"",","&amp;""""&amp;Instruments!E$1&amp;""""&amp;":"&amp;""""&amp;TEXT(Instruments!E130,"yyyy-mm-dd")&amp;"""")</f>
        <v/>
      </c>
      <c r="G129" s="0" t="str">
        <f aca="false">IF(ISBLANK(Instruments!E130),"",","&amp;""""&amp;Instruments!F$1&amp;""""&amp;":"&amp;""""&amp;Instruments!F130&amp;"""")</f>
        <v/>
      </c>
      <c r="H129" s="0" t="str">
        <f aca="false">IF(ISBLANK(Instruments!F130),"",","&amp;""""&amp;Instruments!G$1&amp;""""&amp;":"&amp;""""&amp;Instruments!G130&amp;"""")</f>
        <v/>
      </c>
      <c r="I129" s="0" t="str">
        <f aca="false">IF(ISBLANK(Instruments!G130),"",","&amp;""""&amp;Instruments!H$1&amp;""""&amp;":"&amp;""""&amp;Instruments!H130&amp;"""")</f>
        <v/>
      </c>
      <c r="J129" s="0" t="str">
        <f aca="false">IF(ISBLANK(Instruments!I130),"",","&amp;""""&amp;Instruments!I$1&amp;""""&amp;":"&amp;""""&amp;Instruments!I130&amp;""""&amp;"}")</f>
        <v/>
      </c>
    </row>
    <row r="130" customFormat="false" ht="15" hidden="false" customHeight="false" outlineLevel="0" collapsed="false">
      <c r="A130" s="0" t="str">
        <f aca="false">_xlfn.CONCAT(B130:J130)</f>
        <v/>
      </c>
      <c r="B130" s="0" t="str">
        <f aca="false">IF(ISBLANK(Instruments!A131),"","{"&amp;""""&amp;Instruments!A$1&amp;""""&amp;":"&amp;""""&amp;Instruments!A131&amp;"""")</f>
        <v/>
      </c>
      <c r="C130" s="0" t="str">
        <f aca="false">IF(ISBLANK(Instruments!A131),"",","&amp;""""&amp;Instruments!B$1&amp;""""&amp;":"&amp;""""&amp;Instruments!B131&amp;"""")</f>
        <v/>
      </c>
      <c r="D130" s="0" t="str">
        <f aca="false">IF(ISBLANK(Instruments!B131),"",","&amp;""""&amp;Instruments!C$1&amp;""""&amp;":"&amp;""""&amp;Instruments!C131&amp;"""")</f>
        <v/>
      </c>
      <c r="E130" s="0" t="str">
        <f aca="false">IF(ISBLANK(Instruments!C131),"",","&amp;""""&amp;Instruments!D$1&amp;""""&amp;":"&amp;""""&amp;TEXT(Instruments!D131,"yyyy-mm-dd")&amp;"""")</f>
        <v/>
      </c>
      <c r="F130" s="0" t="str">
        <f aca="false">IF(ISBLANK(Instruments!D131),"",","&amp;""""&amp;Instruments!E$1&amp;""""&amp;":"&amp;""""&amp;TEXT(Instruments!E131,"yyyy-mm-dd")&amp;"""")</f>
        <v/>
      </c>
      <c r="G130" s="0" t="str">
        <f aca="false">IF(ISBLANK(Instruments!E131),"",","&amp;""""&amp;Instruments!F$1&amp;""""&amp;":"&amp;""""&amp;Instruments!F131&amp;"""")</f>
        <v/>
      </c>
      <c r="H130" s="0" t="str">
        <f aca="false">IF(ISBLANK(Instruments!F131),"",","&amp;""""&amp;Instruments!G$1&amp;""""&amp;":"&amp;""""&amp;Instruments!G131&amp;"""")</f>
        <v/>
      </c>
      <c r="I130" s="0" t="str">
        <f aca="false">IF(ISBLANK(Instruments!G131),"",","&amp;""""&amp;Instruments!H$1&amp;""""&amp;":"&amp;""""&amp;Instruments!H131&amp;"""")</f>
        <v/>
      </c>
      <c r="J130" s="0" t="str">
        <f aca="false">IF(ISBLANK(Instruments!I131),"",","&amp;""""&amp;Instruments!I$1&amp;""""&amp;":"&amp;""""&amp;Instruments!I131&amp;""""&amp;"}")</f>
        <v/>
      </c>
    </row>
    <row r="131" customFormat="false" ht="15" hidden="false" customHeight="false" outlineLevel="0" collapsed="false">
      <c r="A131" s="0" t="str">
        <f aca="false">_xlfn.CONCAT(B131:J131)</f>
        <v/>
      </c>
      <c r="B131" s="0" t="str">
        <f aca="false">IF(ISBLANK(Instruments!A132),"","{"&amp;""""&amp;Instruments!A$1&amp;""""&amp;":"&amp;""""&amp;Instruments!A132&amp;"""")</f>
        <v/>
      </c>
      <c r="C131" s="0" t="str">
        <f aca="false">IF(ISBLANK(Instruments!A132),"",","&amp;""""&amp;Instruments!B$1&amp;""""&amp;":"&amp;""""&amp;Instruments!B132&amp;"""")</f>
        <v/>
      </c>
      <c r="D131" s="0" t="str">
        <f aca="false">IF(ISBLANK(Instruments!B132),"",","&amp;""""&amp;Instruments!C$1&amp;""""&amp;":"&amp;""""&amp;Instruments!C132&amp;"""")</f>
        <v/>
      </c>
      <c r="E131" s="0" t="str">
        <f aca="false">IF(ISBLANK(Instruments!C132),"",","&amp;""""&amp;Instruments!D$1&amp;""""&amp;":"&amp;""""&amp;TEXT(Instruments!D132,"yyyy-mm-dd")&amp;"""")</f>
        <v/>
      </c>
      <c r="F131" s="0" t="str">
        <f aca="false">IF(ISBLANK(Instruments!D132),"",","&amp;""""&amp;Instruments!E$1&amp;""""&amp;":"&amp;""""&amp;TEXT(Instruments!E132,"yyyy-mm-dd")&amp;"""")</f>
        <v/>
      </c>
      <c r="G131" s="0" t="str">
        <f aca="false">IF(ISBLANK(Instruments!E132),"",","&amp;""""&amp;Instruments!F$1&amp;""""&amp;":"&amp;""""&amp;Instruments!F132&amp;"""")</f>
        <v/>
      </c>
      <c r="H131" s="0" t="str">
        <f aca="false">IF(ISBLANK(Instruments!F132),"",","&amp;""""&amp;Instruments!G$1&amp;""""&amp;":"&amp;""""&amp;Instruments!G132&amp;"""")</f>
        <v/>
      </c>
      <c r="I131" s="0" t="str">
        <f aca="false">IF(ISBLANK(Instruments!G132),"",","&amp;""""&amp;Instruments!H$1&amp;""""&amp;":"&amp;""""&amp;Instruments!H132&amp;"""")</f>
        <v/>
      </c>
      <c r="J131" s="0" t="str">
        <f aca="false">IF(ISBLANK(Instruments!I132),"",","&amp;""""&amp;Instruments!I$1&amp;""""&amp;":"&amp;""""&amp;Instruments!I132&amp;""""&amp;"}")</f>
        <v/>
      </c>
    </row>
    <row r="132" customFormat="false" ht="15" hidden="false" customHeight="false" outlineLevel="0" collapsed="false">
      <c r="A132" s="0" t="str">
        <f aca="false">_xlfn.CONCAT(B132:J132)</f>
        <v/>
      </c>
      <c r="B132" s="0" t="str">
        <f aca="false">IF(ISBLANK(Instruments!A133),"","{"&amp;""""&amp;Instruments!A$1&amp;""""&amp;":"&amp;""""&amp;Instruments!A133&amp;"""")</f>
        <v/>
      </c>
      <c r="C132" s="0" t="str">
        <f aca="false">IF(ISBLANK(Instruments!A133),"",","&amp;""""&amp;Instruments!B$1&amp;""""&amp;":"&amp;""""&amp;Instruments!B133&amp;"""")</f>
        <v/>
      </c>
      <c r="D132" s="0" t="str">
        <f aca="false">IF(ISBLANK(Instruments!B133),"",","&amp;""""&amp;Instruments!C$1&amp;""""&amp;":"&amp;""""&amp;Instruments!C133&amp;"""")</f>
        <v/>
      </c>
      <c r="E132" s="0" t="str">
        <f aca="false">IF(ISBLANK(Instruments!C133),"",","&amp;""""&amp;Instruments!D$1&amp;""""&amp;":"&amp;""""&amp;TEXT(Instruments!D133,"yyyy-mm-dd")&amp;"""")</f>
        <v/>
      </c>
      <c r="F132" s="0" t="str">
        <f aca="false">IF(ISBLANK(Instruments!D133),"",","&amp;""""&amp;Instruments!E$1&amp;""""&amp;":"&amp;""""&amp;TEXT(Instruments!E133,"yyyy-mm-dd")&amp;"""")</f>
        <v/>
      </c>
      <c r="G132" s="0" t="str">
        <f aca="false">IF(ISBLANK(Instruments!E133),"",","&amp;""""&amp;Instruments!F$1&amp;""""&amp;":"&amp;""""&amp;Instruments!F133&amp;"""")</f>
        <v/>
      </c>
      <c r="H132" s="0" t="str">
        <f aca="false">IF(ISBLANK(Instruments!F133),"",","&amp;""""&amp;Instruments!G$1&amp;""""&amp;":"&amp;""""&amp;Instruments!G133&amp;"""")</f>
        <v/>
      </c>
      <c r="I132" s="0" t="str">
        <f aca="false">IF(ISBLANK(Instruments!G133),"",","&amp;""""&amp;Instruments!H$1&amp;""""&amp;":"&amp;""""&amp;Instruments!H133&amp;"""")</f>
        <v/>
      </c>
      <c r="J132" s="0" t="str">
        <f aca="false">IF(ISBLANK(Instruments!I133),"",","&amp;""""&amp;Instruments!I$1&amp;""""&amp;":"&amp;""""&amp;Instruments!I133&amp;""""&amp;"}")</f>
        <v/>
      </c>
    </row>
    <row r="133" customFormat="false" ht="15" hidden="false" customHeight="false" outlineLevel="0" collapsed="false">
      <c r="A133" s="0" t="str">
        <f aca="false">_xlfn.CONCAT(B133:J133)</f>
        <v/>
      </c>
      <c r="B133" s="0" t="str">
        <f aca="false">IF(ISBLANK(Instruments!A134),"","{"&amp;""""&amp;Instruments!A$1&amp;""""&amp;":"&amp;""""&amp;Instruments!A134&amp;"""")</f>
        <v/>
      </c>
      <c r="C133" s="0" t="str">
        <f aca="false">IF(ISBLANK(Instruments!A134),"",","&amp;""""&amp;Instruments!B$1&amp;""""&amp;":"&amp;""""&amp;Instruments!B134&amp;"""")</f>
        <v/>
      </c>
      <c r="D133" s="0" t="str">
        <f aca="false">IF(ISBLANK(Instruments!B134),"",","&amp;""""&amp;Instruments!C$1&amp;""""&amp;":"&amp;""""&amp;Instruments!C134&amp;"""")</f>
        <v/>
      </c>
      <c r="E133" s="0" t="str">
        <f aca="false">IF(ISBLANK(Instruments!C134),"",","&amp;""""&amp;Instruments!D$1&amp;""""&amp;":"&amp;""""&amp;TEXT(Instruments!D134,"yyyy-mm-dd")&amp;"""")</f>
        <v/>
      </c>
      <c r="F133" s="0" t="str">
        <f aca="false">IF(ISBLANK(Instruments!D134),"",","&amp;""""&amp;Instruments!E$1&amp;""""&amp;":"&amp;""""&amp;TEXT(Instruments!E134,"yyyy-mm-dd")&amp;"""")</f>
        <v/>
      </c>
      <c r="G133" s="0" t="str">
        <f aca="false">IF(ISBLANK(Instruments!E134),"",","&amp;""""&amp;Instruments!F$1&amp;""""&amp;":"&amp;""""&amp;Instruments!F134&amp;"""")</f>
        <v/>
      </c>
      <c r="H133" s="0" t="str">
        <f aca="false">IF(ISBLANK(Instruments!F134),"",","&amp;""""&amp;Instruments!G$1&amp;""""&amp;":"&amp;""""&amp;Instruments!G134&amp;"""")</f>
        <v/>
      </c>
      <c r="I133" s="0" t="str">
        <f aca="false">IF(ISBLANK(Instruments!G134),"",","&amp;""""&amp;Instruments!H$1&amp;""""&amp;":"&amp;""""&amp;Instruments!H134&amp;"""")</f>
        <v/>
      </c>
      <c r="J133" s="0" t="str">
        <f aca="false">IF(ISBLANK(Instruments!I134),"",","&amp;""""&amp;Instruments!I$1&amp;""""&amp;":"&amp;""""&amp;Instruments!I134&amp;""""&amp;"}")</f>
        <v/>
      </c>
    </row>
    <row r="134" customFormat="false" ht="15" hidden="false" customHeight="false" outlineLevel="0" collapsed="false">
      <c r="A134" s="0" t="str">
        <f aca="false">_xlfn.CONCAT(B134:J134)</f>
        <v/>
      </c>
      <c r="B134" s="0" t="str">
        <f aca="false">IF(ISBLANK(Instruments!A135),"","{"&amp;""""&amp;Instruments!A$1&amp;""""&amp;":"&amp;""""&amp;Instruments!A135&amp;"""")</f>
        <v/>
      </c>
      <c r="C134" s="0" t="str">
        <f aca="false">IF(ISBLANK(Instruments!A135),"",","&amp;""""&amp;Instruments!B$1&amp;""""&amp;":"&amp;""""&amp;Instruments!B135&amp;"""")</f>
        <v/>
      </c>
      <c r="D134" s="0" t="str">
        <f aca="false">IF(ISBLANK(Instruments!B135),"",","&amp;""""&amp;Instruments!C$1&amp;""""&amp;":"&amp;""""&amp;Instruments!C135&amp;"""")</f>
        <v/>
      </c>
      <c r="E134" s="0" t="str">
        <f aca="false">IF(ISBLANK(Instruments!C135),"",","&amp;""""&amp;Instruments!D$1&amp;""""&amp;":"&amp;""""&amp;TEXT(Instruments!D135,"yyyy-mm-dd")&amp;"""")</f>
        <v/>
      </c>
      <c r="F134" s="0" t="str">
        <f aca="false">IF(ISBLANK(Instruments!D135),"",","&amp;""""&amp;Instruments!E$1&amp;""""&amp;":"&amp;""""&amp;TEXT(Instruments!E135,"yyyy-mm-dd")&amp;"""")</f>
        <v/>
      </c>
      <c r="G134" s="0" t="str">
        <f aca="false">IF(ISBLANK(Instruments!E135),"",","&amp;""""&amp;Instruments!F$1&amp;""""&amp;":"&amp;""""&amp;Instruments!F135&amp;"""")</f>
        <v/>
      </c>
      <c r="H134" s="0" t="str">
        <f aca="false">IF(ISBLANK(Instruments!F135),"",","&amp;""""&amp;Instruments!G$1&amp;""""&amp;":"&amp;""""&amp;Instruments!G135&amp;"""")</f>
        <v/>
      </c>
      <c r="I134" s="0" t="str">
        <f aca="false">IF(ISBLANK(Instruments!G135),"",","&amp;""""&amp;Instruments!H$1&amp;""""&amp;":"&amp;""""&amp;Instruments!H135&amp;"""")</f>
        <v/>
      </c>
      <c r="J134" s="0" t="str">
        <f aca="false">IF(ISBLANK(Instruments!I135),"",","&amp;""""&amp;Instruments!I$1&amp;""""&amp;":"&amp;""""&amp;Instruments!I135&amp;""""&amp;"}")</f>
        <v/>
      </c>
    </row>
    <row r="135" customFormat="false" ht="15" hidden="false" customHeight="false" outlineLevel="0" collapsed="false">
      <c r="A135" s="0" t="str">
        <f aca="false">_xlfn.CONCAT(B135:J135)</f>
        <v/>
      </c>
      <c r="B135" s="0" t="str">
        <f aca="false">IF(ISBLANK(Instruments!A136),"","{"&amp;""""&amp;Instruments!A$1&amp;""""&amp;":"&amp;""""&amp;Instruments!A136&amp;"""")</f>
        <v/>
      </c>
      <c r="C135" s="0" t="str">
        <f aca="false">IF(ISBLANK(Instruments!A136),"",","&amp;""""&amp;Instruments!B$1&amp;""""&amp;":"&amp;""""&amp;Instruments!B136&amp;"""")</f>
        <v/>
      </c>
      <c r="D135" s="0" t="str">
        <f aca="false">IF(ISBLANK(Instruments!B136),"",","&amp;""""&amp;Instruments!C$1&amp;""""&amp;":"&amp;""""&amp;Instruments!C136&amp;"""")</f>
        <v/>
      </c>
      <c r="E135" s="0" t="str">
        <f aca="false">IF(ISBLANK(Instruments!C136),"",","&amp;""""&amp;Instruments!D$1&amp;""""&amp;":"&amp;""""&amp;TEXT(Instruments!D136,"yyyy-mm-dd")&amp;"""")</f>
        <v/>
      </c>
      <c r="F135" s="0" t="str">
        <f aca="false">IF(ISBLANK(Instruments!D136),"",","&amp;""""&amp;Instruments!E$1&amp;""""&amp;":"&amp;""""&amp;TEXT(Instruments!E136,"yyyy-mm-dd")&amp;"""")</f>
        <v/>
      </c>
      <c r="G135" s="0" t="str">
        <f aca="false">IF(ISBLANK(Instruments!E136),"",","&amp;""""&amp;Instruments!F$1&amp;""""&amp;":"&amp;""""&amp;Instruments!F136&amp;"""")</f>
        <v/>
      </c>
      <c r="H135" s="0" t="str">
        <f aca="false">IF(ISBLANK(Instruments!F136),"",","&amp;""""&amp;Instruments!G$1&amp;""""&amp;":"&amp;""""&amp;Instruments!G136&amp;"""")</f>
        <v/>
      </c>
      <c r="I135" s="0" t="str">
        <f aca="false">IF(ISBLANK(Instruments!G136),"",","&amp;""""&amp;Instruments!H$1&amp;""""&amp;":"&amp;""""&amp;Instruments!H136&amp;"""")</f>
        <v/>
      </c>
      <c r="J135" s="0" t="str">
        <f aca="false">IF(ISBLANK(Instruments!I136),"",","&amp;""""&amp;Instruments!I$1&amp;""""&amp;":"&amp;""""&amp;Instruments!I136&amp;""""&amp;"}")</f>
        <v/>
      </c>
    </row>
    <row r="136" customFormat="false" ht="15" hidden="false" customHeight="false" outlineLevel="0" collapsed="false">
      <c r="A136" s="0" t="str">
        <f aca="false">_xlfn.CONCAT(B136:J136)</f>
        <v/>
      </c>
      <c r="B136" s="0" t="str">
        <f aca="false">IF(ISBLANK(Instruments!A137),"","{"&amp;""""&amp;Instruments!A$1&amp;""""&amp;":"&amp;""""&amp;Instruments!A137&amp;"""")</f>
        <v/>
      </c>
      <c r="C136" s="0" t="str">
        <f aca="false">IF(ISBLANK(Instruments!A137),"",","&amp;""""&amp;Instruments!B$1&amp;""""&amp;":"&amp;""""&amp;Instruments!B137&amp;"""")</f>
        <v/>
      </c>
      <c r="D136" s="0" t="str">
        <f aca="false">IF(ISBLANK(Instruments!B137),"",","&amp;""""&amp;Instruments!C$1&amp;""""&amp;":"&amp;""""&amp;Instruments!C137&amp;"""")</f>
        <v/>
      </c>
      <c r="E136" s="0" t="str">
        <f aca="false">IF(ISBLANK(Instruments!C137),"",","&amp;""""&amp;Instruments!D$1&amp;""""&amp;":"&amp;""""&amp;TEXT(Instruments!D137,"yyyy-mm-dd")&amp;"""")</f>
        <v/>
      </c>
      <c r="F136" s="0" t="str">
        <f aca="false">IF(ISBLANK(Instruments!D137),"",","&amp;""""&amp;Instruments!E$1&amp;""""&amp;":"&amp;""""&amp;TEXT(Instruments!E137,"yyyy-mm-dd")&amp;"""")</f>
        <v/>
      </c>
      <c r="G136" s="0" t="str">
        <f aca="false">IF(ISBLANK(Instruments!E137),"",","&amp;""""&amp;Instruments!F$1&amp;""""&amp;":"&amp;""""&amp;Instruments!F137&amp;"""")</f>
        <v/>
      </c>
      <c r="H136" s="0" t="str">
        <f aca="false">IF(ISBLANK(Instruments!F137),"",","&amp;""""&amp;Instruments!G$1&amp;""""&amp;":"&amp;""""&amp;Instruments!G137&amp;"""")</f>
        <v/>
      </c>
      <c r="I136" s="0" t="str">
        <f aca="false">IF(ISBLANK(Instruments!G137),"",","&amp;""""&amp;Instruments!H$1&amp;""""&amp;":"&amp;""""&amp;Instruments!H137&amp;"""")</f>
        <v/>
      </c>
      <c r="J136" s="0" t="str">
        <f aca="false">IF(ISBLANK(Instruments!I137),"",","&amp;""""&amp;Instruments!I$1&amp;""""&amp;":"&amp;""""&amp;Instruments!I137&amp;""""&amp;"}")</f>
        <v/>
      </c>
    </row>
    <row r="137" customFormat="false" ht="15" hidden="false" customHeight="false" outlineLevel="0" collapsed="false">
      <c r="A137" s="0" t="str">
        <f aca="false">_xlfn.CONCAT(B137:J137)</f>
        <v/>
      </c>
      <c r="B137" s="0" t="str">
        <f aca="false">IF(ISBLANK(Instruments!A138),"","{"&amp;""""&amp;Instruments!A$1&amp;""""&amp;":"&amp;""""&amp;Instruments!A138&amp;"""")</f>
        <v/>
      </c>
      <c r="C137" s="0" t="str">
        <f aca="false">IF(ISBLANK(Instruments!A138),"",","&amp;""""&amp;Instruments!B$1&amp;""""&amp;":"&amp;""""&amp;Instruments!B138&amp;"""")</f>
        <v/>
      </c>
      <c r="D137" s="0" t="str">
        <f aca="false">IF(ISBLANK(Instruments!B138),"",","&amp;""""&amp;Instruments!C$1&amp;""""&amp;":"&amp;""""&amp;Instruments!C138&amp;"""")</f>
        <v/>
      </c>
      <c r="E137" s="0" t="str">
        <f aca="false">IF(ISBLANK(Instruments!C138),"",","&amp;""""&amp;Instruments!D$1&amp;""""&amp;":"&amp;""""&amp;TEXT(Instruments!D138,"yyyy-mm-dd")&amp;"""")</f>
        <v/>
      </c>
      <c r="F137" s="0" t="str">
        <f aca="false">IF(ISBLANK(Instruments!D138),"",","&amp;""""&amp;Instruments!E$1&amp;""""&amp;":"&amp;""""&amp;TEXT(Instruments!E138,"yyyy-mm-dd")&amp;"""")</f>
        <v/>
      </c>
      <c r="G137" s="0" t="str">
        <f aca="false">IF(ISBLANK(Instruments!E138),"",","&amp;""""&amp;Instruments!F$1&amp;""""&amp;":"&amp;""""&amp;Instruments!F138&amp;"""")</f>
        <v/>
      </c>
      <c r="H137" s="0" t="str">
        <f aca="false">IF(ISBLANK(Instruments!F138),"",","&amp;""""&amp;Instruments!G$1&amp;""""&amp;":"&amp;""""&amp;Instruments!G138&amp;"""")</f>
        <v/>
      </c>
      <c r="I137" s="0" t="str">
        <f aca="false">IF(ISBLANK(Instruments!G138),"",","&amp;""""&amp;Instruments!H$1&amp;""""&amp;":"&amp;""""&amp;Instruments!H138&amp;"""")</f>
        <v/>
      </c>
      <c r="J137" s="0" t="str">
        <f aca="false">IF(ISBLANK(Instruments!I138),"",","&amp;""""&amp;Instruments!I$1&amp;""""&amp;":"&amp;""""&amp;Instruments!I138&amp;""""&amp;"}")</f>
        <v/>
      </c>
    </row>
    <row r="138" customFormat="false" ht="15" hidden="false" customHeight="false" outlineLevel="0" collapsed="false">
      <c r="A138" s="0" t="str">
        <f aca="false">_xlfn.CONCAT(B138:J138)</f>
        <v/>
      </c>
      <c r="B138" s="0" t="str">
        <f aca="false">IF(ISBLANK(Instruments!A139),"","{"&amp;""""&amp;Instruments!A$1&amp;""""&amp;":"&amp;""""&amp;Instruments!A139&amp;"""")</f>
        <v/>
      </c>
      <c r="C138" s="0" t="str">
        <f aca="false">IF(ISBLANK(Instruments!A139),"",","&amp;""""&amp;Instruments!B$1&amp;""""&amp;":"&amp;""""&amp;Instruments!B139&amp;"""")</f>
        <v/>
      </c>
      <c r="D138" s="0" t="str">
        <f aca="false">IF(ISBLANK(Instruments!B139),"",","&amp;""""&amp;Instruments!C$1&amp;""""&amp;":"&amp;""""&amp;Instruments!C139&amp;"""")</f>
        <v/>
      </c>
      <c r="E138" s="0" t="str">
        <f aca="false">IF(ISBLANK(Instruments!C139),"",","&amp;""""&amp;Instruments!D$1&amp;""""&amp;":"&amp;""""&amp;TEXT(Instruments!D139,"yyyy-mm-dd")&amp;"""")</f>
        <v/>
      </c>
      <c r="F138" s="0" t="str">
        <f aca="false">IF(ISBLANK(Instruments!D139),"",","&amp;""""&amp;Instruments!E$1&amp;""""&amp;":"&amp;""""&amp;TEXT(Instruments!E139,"yyyy-mm-dd")&amp;"""")</f>
        <v/>
      </c>
      <c r="G138" s="0" t="str">
        <f aca="false">IF(ISBLANK(Instruments!E139),"",","&amp;""""&amp;Instruments!F$1&amp;""""&amp;":"&amp;""""&amp;Instruments!F139&amp;"""")</f>
        <v/>
      </c>
      <c r="H138" s="0" t="str">
        <f aca="false">IF(ISBLANK(Instruments!F139),"",","&amp;""""&amp;Instruments!G$1&amp;""""&amp;":"&amp;""""&amp;Instruments!G139&amp;"""")</f>
        <v/>
      </c>
      <c r="I138" s="0" t="str">
        <f aca="false">IF(ISBLANK(Instruments!G139),"",","&amp;""""&amp;Instruments!H$1&amp;""""&amp;":"&amp;""""&amp;Instruments!H139&amp;"""")</f>
        <v/>
      </c>
      <c r="J138" s="0" t="str">
        <f aca="false">IF(ISBLANK(Instruments!I139),"",","&amp;""""&amp;Instruments!I$1&amp;""""&amp;":"&amp;""""&amp;Instruments!I139&amp;""""&amp;"}")</f>
        <v/>
      </c>
    </row>
    <row r="139" customFormat="false" ht="15" hidden="false" customHeight="false" outlineLevel="0" collapsed="false">
      <c r="A139" s="0" t="str">
        <f aca="false">_xlfn.CONCAT(B139:J139)</f>
        <v/>
      </c>
      <c r="B139" s="0" t="str">
        <f aca="false">IF(ISBLANK(Instruments!A140),"","{"&amp;""""&amp;Instruments!A$1&amp;""""&amp;":"&amp;""""&amp;Instruments!A140&amp;"""")</f>
        <v/>
      </c>
      <c r="C139" s="0" t="str">
        <f aca="false">IF(ISBLANK(Instruments!A140),"",","&amp;""""&amp;Instruments!B$1&amp;""""&amp;":"&amp;""""&amp;Instruments!B140&amp;"""")</f>
        <v/>
      </c>
      <c r="D139" s="0" t="str">
        <f aca="false">IF(ISBLANK(Instruments!B140),"",","&amp;""""&amp;Instruments!C$1&amp;""""&amp;":"&amp;""""&amp;Instruments!C140&amp;"""")</f>
        <v/>
      </c>
      <c r="E139" s="0" t="str">
        <f aca="false">IF(ISBLANK(Instruments!C140),"",","&amp;""""&amp;Instruments!D$1&amp;""""&amp;":"&amp;""""&amp;TEXT(Instruments!D140,"yyyy-mm-dd")&amp;"""")</f>
        <v/>
      </c>
      <c r="F139" s="0" t="str">
        <f aca="false">IF(ISBLANK(Instruments!D140),"",","&amp;""""&amp;Instruments!E$1&amp;""""&amp;":"&amp;""""&amp;TEXT(Instruments!E140,"yyyy-mm-dd")&amp;"""")</f>
        <v/>
      </c>
      <c r="G139" s="0" t="str">
        <f aca="false">IF(ISBLANK(Instruments!E140),"",","&amp;""""&amp;Instruments!F$1&amp;""""&amp;":"&amp;""""&amp;Instruments!F140&amp;"""")</f>
        <v/>
      </c>
      <c r="H139" s="0" t="str">
        <f aca="false">IF(ISBLANK(Instruments!F140),"",","&amp;""""&amp;Instruments!G$1&amp;""""&amp;":"&amp;""""&amp;Instruments!G140&amp;"""")</f>
        <v/>
      </c>
      <c r="I139" s="0" t="str">
        <f aca="false">IF(ISBLANK(Instruments!G140),"",","&amp;""""&amp;Instruments!H$1&amp;""""&amp;":"&amp;""""&amp;Instruments!H140&amp;"""")</f>
        <v/>
      </c>
      <c r="J139" s="0" t="str">
        <f aca="false">IF(ISBLANK(Instruments!I140),"",","&amp;""""&amp;Instruments!I$1&amp;""""&amp;":"&amp;""""&amp;Instruments!I140&amp;""""&amp;"}")</f>
        <v/>
      </c>
    </row>
    <row r="140" customFormat="false" ht="15" hidden="false" customHeight="false" outlineLevel="0" collapsed="false">
      <c r="A140" s="0" t="str">
        <f aca="false">_xlfn.CONCAT(B140:J140)</f>
        <v/>
      </c>
      <c r="B140" s="0" t="str">
        <f aca="false">IF(ISBLANK(Instruments!A141),"","{"&amp;""""&amp;Instruments!A$1&amp;""""&amp;":"&amp;""""&amp;Instruments!A141&amp;"""")</f>
        <v/>
      </c>
      <c r="C140" s="0" t="str">
        <f aca="false">IF(ISBLANK(Instruments!A141),"",","&amp;""""&amp;Instruments!B$1&amp;""""&amp;":"&amp;""""&amp;Instruments!B141&amp;"""")</f>
        <v/>
      </c>
      <c r="D140" s="0" t="str">
        <f aca="false">IF(ISBLANK(Instruments!B141),"",","&amp;""""&amp;Instruments!C$1&amp;""""&amp;":"&amp;""""&amp;Instruments!C141&amp;"""")</f>
        <v/>
      </c>
      <c r="E140" s="0" t="str">
        <f aca="false">IF(ISBLANK(Instruments!C141),"",","&amp;""""&amp;Instruments!D$1&amp;""""&amp;":"&amp;""""&amp;TEXT(Instruments!D141,"yyyy-mm-dd")&amp;"""")</f>
        <v/>
      </c>
      <c r="F140" s="0" t="str">
        <f aca="false">IF(ISBLANK(Instruments!D141),"",","&amp;""""&amp;Instruments!E$1&amp;""""&amp;":"&amp;""""&amp;TEXT(Instruments!E141,"yyyy-mm-dd")&amp;"""")</f>
        <v/>
      </c>
      <c r="G140" s="0" t="str">
        <f aca="false">IF(ISBLANK(Instruments!E141),"",","&amp;""""&amp;Instruments!F$1&amp;""""&amp;":"&amp;""""&amp;Instruments!F141&amp;"""")</f>
        <v/>
      </c>
      <c r="H140" s="0" t="str">
        <f aca="false">IF(ISBLANK(Instruments!F141),"",","&amp;""""&amp;Instruments!G$1&amp;""""&amp;":"&amp;""""&amp;Instruments!G141&amp;"""")</f>
        <v/>
      </c>
      <c r="I140" s="0" t="str">
        <f aca="false">IF(ISBLANK(Instruments!G141),"",","&amp;""""&amp;Instruments!H$1&amp;""""&amp;":"&amp;""""&amp;Instruments!H141&amp;"""")</f>
        <v/>
      </c>
      <c r="J140" s="0" t="str">
        <f aca="false">IF(ISBLANK(Instruments!I141),"",","&amp;""""&amp;Instruments!I$1&amp;""""&amp;":"&amp;""""&amp;Instruments!I141&amp;""""&amp;"}")</f>
        <v/>
      </c>
    </row>
    <row r="141" customFormat="false" ht="15" hidden="false" customHeight="false" outlineLevel="0" collapsed="false">
      <c r="A141" s="0" t="str">
        <f aca="false">_xlfn.CONCAT(B141:J141)</f>
        <v/>
      </c>
      <c r="B141" s="0" t="str">
        <f aca="false">IF(ISBLANK(Instruments!A142),"","{"&amp;""""&amp;Instruments!A$1&amp;""""&amp;":"&amp;""""&amp;Instruments!A142&amp;"""")</f>
        <v/>
      </c>
      <c r="C141" s="0" t="str">
        <f aca="false">IF(ISBLANK(Instruments!A142),"",","&amp;""""&amp;Instruments!B$1&amp;""""&amp;":"&amp;""""&amp;Instruments!B142&amp;"""")</f>
        <v/>
      </c>
      <c r="D141" s="0" t="str">
        <f aca="false">IF(ISBLANK(Instruments!B142),"",","&amp;""""&amp;Instruments!C$1&amp;""""&amp;":"&amp;""""&amp;Instruments!C142&amp;"""")</f>
        <v/>
      </c>
      <c r="E141" s="0" t="str">
        <f aca="false">IF(ISBLANK(Instruments!C142),"",","&amp;""""&amp;Instruments!D$1&amp;""""&amp;":"&amp;""""&amp;TEXT(Instruments!D142,"yyyy-mm-dd")&amp;"""")</f>
        <v/>
      </c>
      <c r="F141" s="0" t="str">
        <f aca="false">IF(ISBLANK(Instruments!D142),"",","&amp;""""&amp;Instruments!E$1&amp;""""&amp;":"&amp;""""&amp;TEXT(Instruments!E142,"yyyy-mm-dd")&amp;"""")</f>
        <v/>
      </c>
      <c r="G141" s="0" t="str">
        <f aca="false">IF(ISBLANK(Instruments!E142),"",","&amp;""""&amp;Instruments!F$1&amp;""""&amp;":"&amp;""""&amp;Instruments!F142&amp;"""")</f>
        <v/>
      </c>
      <c r="H141" s="0" t="str">
        <f aca="false">IF(ISBLANK(Instruments!F142),"",","&amp;""""&amp;Instruments!G$1&amp;""""&amp;":"&amp;""""&amp;Instruments!G142&amp;"""")</f>
        <v/>
      </c>
      <c r="I141" s="0" t="str">
        <f aca="false">IF(ISBLANK(Instruments!G142),"",","&amp;""""&amp;Instruments!H$1&amp;""""&amp;":"&amp;""""&amp;Instruments!H142&amp;"""")</f>
        <v/>
      </c>
      <c r="J141" s="0" t="str">
        <f aca="false">IF(ISBLANK(Instruments!I142),"",","&amp;""""&amp;Instruments!I$1&amp;""""&amp;":"&amp;""""&amp;Instruments!I142&amp;""""&amp;"}")</f>
        <v/>
      </c>
    </row>
    <row r="142" customFormat="false" ht="15" hidden="false" customHeight="false" outlineLevel="0" collapsed="false">
      <c r="A142" s="0" t="str">
        <f aca="false">_xlfn.CONCAT(B142:J142)</f>
        <v/>
      </c>
      <c r="B142" s="0" t="str">
        <f aca="false">IF(ISBLANK(Instruments!A143),"","{"&amp;""""&amp;Instruments!A$1&amp;""""&amp;":"&amp;""""&amp;Instruments!A143&amp;"""")</f>
        <v/>
      </c>
      <c r="C142" s="0" t="str">
        <f aca="false">IF(ISBLANK(Instruments!A143),"",","&amp;""""&amp;Instruments!B$1&amp;""""&amp;":"&amp;""""&amp;Instruments!B143&amp;"""")</f>
        <v/>
      </c>
      <c r="D142" s="0" t="str">
        <f aca="false">IF(ISBLANK(Instruments!B143),"",","&amp;""""&amp;Instruments!C$1&amp;""""&amp;":"&amp;""""&amp;Instruments!C143&amp;"""")</f>
        <v/>
      </c>
      <c r="E142" s="0" t="str">
        <f aca="false">IF(ISBLANK(Instruments!C143),"",","&amp;""""&amp;Instruments!D$1&amp;""""&amp;":"&amp;""""&amp;TEXT(Instruments!D143,"yyyy-mm-dd")&amp;"""")</f>
        <v/>
      </c>
      <c r="F142" s="0" t="str">
        <f aca="false">IF(ISBLANK(Instruments!D143),"",","&amp;""""&amp;Instruments!E$1&amp;""""&amp;":"&amp;""""&amp;TEXT(Instruments!E143,"yyyy-mm-dd")&amp;"""")</f>
        <v/>
      </c>
      <c r="G142" s="0" t="str">
        <f aca="false">IF(ISBLANK(Instruments!E143),"",","&amp;""""&amp;Instruments!F$1&amp;""""&amp;":"&amp;""""&amp;Instruments!F143&amp;"""")</f>
        <v/>
      </c>
      <c r="H142" s="0" t="str">
        <f aca="false">IF(ISBLANK(Instruments!F143),"",","&amp;""""&amp;Instruments!G$1&amp;""""&amp;":"&amp;""""&amp;Instruments!G143&amp;"""")</f>
        <v/>
      </c>
      <c r="I142" s="0" t="str">
        <f aca="false">IF(ISBLANK(Instruments!G143),"",","&amp;""""&amp;Instruments!H$1&amp;""""&amp;":"&amp;""""&amp;Instruments!H143&amp;"""")</f>
        <v/>
      </c>
      <c r="J142" s="0" t="str">
        <f aca="false">IF(ISBLANK(Instruments!I143),"",","&amp;""""&amp;Instruments!I$1&amp;""""&amp;":"&amp;""""&amp;Instruments!I143&amp;""""&amp;"}")</f>
        <v/>
      </c>
    </row>
    <row r="143" customFormat="false" ht="15" hidden="false" customHeight="false" outlineLevel="0" collapsed="false">
      <c r="A143" s="0" t="str">
        <f aca="false">_xlfn.CONCAT(B143:J143)</f>
        <v/>
      </c>
      <c r="B143" s="0" t="str">
        <f aca="false">IF(ISBLANK(Instruments!A144),"","{"&amp;""""&amp;Instruments!A$1&amp;""""&amp;":"&amp;""""&amp;Instruments!A144&amp;"""")</f>
        <v/>
      </c>
      <c r="C143" s="0" t="str">
        <f aca="false">IF(ISBLANK(Instruments!A144),"",","&amp;""""&amp;Instruments!B$1&amp;""""&amp;":"&amp;""""&amp;Instruments!B144&amp;"""")</f>
        <v/>
      </c>
      <c r="D143" s="0" t="str">
        <f aca="false">IF(ISBLANK(Instruments!B144),"",","&amp;""""&amp;Instruments!C$1&amp;""""&amp;":"&amp;""""&amp;Instruments!C144&amp;"""")</f>
        <v/>
      </c>
      <c r="E143" s="0" t="str">
        <f aca="false">IF(ISBLANK(Instruments!C144),"",","&amp;""""&amp;Instruments!D$1&amp;""""&amp;":"&amp;""""&amp;TEXT(Instruments!D144,"yyyy-mm-dd")&amp;"""")</f>
        <v/>
      </c>
      <c r="F143" s="0" t="str">
        <f aca="false">IF(ISBLANK(Instruments!D144),"",","&amp;""""&amp;Instruments!E$1&amp;""""&amp;":"&amp;""""&amp;TEXT(Instruments!E144,"yyyy-mm-dd")&amp;"""")</f>
        <v/>
      </c>
      <c r="G143" s="0" t="str">
        <f aca="false">IF(ISBLANK(Instruments!E144),"",","&amp;""""&amp;Instruments!F$1&amp;""""&amp;":"&amp;""""&amp;Instruments!F144&amp;"""")</f>
        <v/>
      </c>
      <c r="H143" s="0" t="str">
        <f aca="false">IF(ISBLANK(Instruments!F144),"",","&amp;""""&amp;Instruments!G$1&amp;""""&amp;":"&amp;""""&amp;Instruments!G144&amp;"""")</f>
        <v/>
      </c>
      <c r="I143" s="0" t="str">
        <f aca="false">IF(ISBLANK(Instruments!G144),"",","&amp;""""&amp;Instruments!H$1&amp;""""&amp;":"&amp;""""&amp;Instruments!H144&amp;"""")</f>
        <v/>
      </c>
      <c r="J143" s="0" t="str">
        <f aca="false">IF(ISBLANK(Instruments!I144),"",","&amp;""""&amp;Instruments!I$1&amp;""""&amp;":"&amp;""""&amp;Instruments!I144&amp;""""&amp;"}")</f>
        <v/>
      </c>
    </row>
    <row r="144" customFormat="false" ht="15" hidden="false" customHeight="false" outlineLevel="0" collapsed="false">
      <c r="A144" s="0" t="str">
        <f aca="false">_xlfn.CONCAT(B144:J144)</f>
        <v/>
      </c>
      <c r="B144" s="0" t="str">
        <f aca="false">IF(ISBLANK(Instruments!A145),"","{"&amp;""""&amp;Instruments!A$1&amp;""""&amp;":"&amp;""""&amp;Instruments!A145&amp;"""")</f>
        <v/>
      </c>
      <c r="C144" s="0" t="str">
        <f aca="false">IF(ISBLANK(Instruments!A145),"",","&amp;""""&amp;Instruments!B$1&amp;""""&amp;":"&amp;""""&amp;Instruments!B145&amp;"""")</f>
        <v/>
      </c>
      <c r="D144" s="0" t="str">
        <f aca="false">IF(ISBLANK(Instruments!B145),"",","&amp;""""&amp;Instruments!C$1&amp;""""&amp;":"&amp;""""&amp;Instruments!C145&amp;"""")</f>
        <v/>
      </c>
      <c r="E144" s="0" t="str">
        <f aca="false">IF(ISBLANK(Instruments!C145),"",","&amp;""""&amp;Instruments!D$1&amp;""""&amp;":"&amp;""""&amp;TEXT(Instruments!D145,"yyyy-mm-dd")&amp;"""")</f>
        <v/>
      </c>
      <c r="F144" s="0" t="str">
        <f aca="false">IF(ISBLANK(Instruments!D145),"",","&amp;""""&amp;Instruments!E$1&amp;""""&amp;":"&amp;""""&amp;TEXT(Instruments!E145,"yyyy-mm-dd")&amp;"""")</f>
        <v/>
      </c>
      <c r="G144" s="0" t="str">
        <f aca="false">IF(ISBLANK(Instruments!E145),"",","&amp;""""&amp;Instruments!F$1&amp;""""&amp;":"&amp;""""&amp;Instruments!F145&amp;"""")</f>
        <v/>
      </c>
      <c r="H144" s="0" t="str">
        <f aca="false">IF(ISBLANK(Instruments!F145),"",","&amp;""""&amp;Instruments!G$1&amp;""""&amp;":"&amp;""""&amp;Instruments!G145&amp;"""")</f>
        <v/>
      </c>
      <c r="I144" s="0" t="str">
        <f aca="false">IF(ISBLANK(Instruments!G145),"",","&amp;""""&amp;Instruments!H$1&amp;""""&amp;":"&amp;""""&amp;Instruments!H145&amp;"""")</f>
        <v/>
      </c>
      <c r="J144" s="0" t="str">
        <f aca="false">IF(ISBLANK(Instruments!I145),"",","&amp;""""&amp;Instruments!I$1&amp;""""&amp;":"&amp;""""&amp;Instruments!I145&amp;""""&amp;"}")</f>
        <v/>
      </c>
    </row>
    <row r="145" customFormat="false" ht="15" hidden="false" customHeight="false" outlineLevel="0" collapsed="false">
      <c r="A145" s="0" t="str">
        <f aca="false">_xlfn.CONCAT(B145:J145)</f>
        <v/>
      </c>
      <c r="B145" s="0" t="str">
        <f aca="false">IF(ISBLANK(Instruments!A146),"","{"&amp;""""&amp;Instruments!A$1&amp;""""&amp;":"&amp;""""&amp;Instruments!A146&amp;"""")</f>
        <v/>
      </c>
      <c r="C145" s="0" t="str">
        <f aca="false">IF(ISBLANK(Instruments!A146),"",","&amp;""""&amp;Instruments!B$1&amp;""""&amp;":"&amp;""""&amp;Instruments!B146&amp;"""")</f>
        <v/>
      </c>
      <c r="D145" s="0" t="str">
        <f aca="false">IF(ISBLANK(Instruments!B146),"",","&amp;""""&amp;Instruments!C$1&amp;""""&amp;":"&amp;""""&amp;Instruments!C146&amp;"""")</f>
        <v/>
      </c>
      <c r="E145" s="0" t="str">
        <f aca="false">IF(ISBLANK(Instruments!C146),"",","&amp;""""&amp;Instruments!D$1&amp;""""&amp;":"&amp;""""&amp;TEXT(Instruments!D146,"yyyy-mm-dd")&amp;"""")</f>
        <v/>
      </c>
      <c r="F145" s="0" t="str">
        <f aca="false">IF(ISBLANK(Instruments!D146),"",","&amp;""""&amp;Instruments!E$1&amp;""""&amp;":"&amp;""""&amp;TEXT(Instruments!E146,"yyyy-mm-dd")&amp;"""")</f>
        <v/>
      </c>
      <c r="G145" s="0" t="str">
        <f aca="false">IF(ISBLANK(Instruments!E146),"",","&amp;""""&amp;Instruments!F$1&amp;""""&amp;":"&amp;""""&amp;Instruments!F146&amp;"""")</f>
        <v/>
      </c>
      <c r="H145" s="0" t="str">
        <f aca="false">IF(ISBLANK(Instruments!F146),"",","&amp;""""&amp;Instruments!G$1&amp;""""&amp;":"&amp;""""&amp;Instruments!G146&amp;"""")</f>
        <v/>
      </c>
      <c r="I145" s="0" t="str">
        <f aca="false">IF(ISBLANK(Instruments!G146),"",","&amp;""""&amp;Instruments!H$1&amp;""""&amp;":"&amp;""""&amp;Instruments!H146&amp;"""")</f>
        <v/>
      </c>
      <c r="J145" s="0" t="str">
        <f aca="false">IF(ISBLANK(Instruments!I146),"",","&amp;""""&amp;Instruments!I$1&amp;""""&amp;":"&amp;""""&amp;Instruments!I146&amp;""""&amp;"}")</f>
        <v/>
      </c>
    </row>
    <row r="146" customFormat="false" ht="15" hidden="false" customHeight="false" outlineLevel="0" collapsed="false">
      <c r="A146" s="0" t="str">
        <f aca="false">_xlfn.CONCAT(B146:J146)</f>
        <v/>
      </c>
      <c r="B146" s="0" t="str">
        <f aca="false">IF(ISBLANK(Instruments!A147),"","{"&amp;""""&amp;Instruments!A$1&amp;""""&amp;":"&amp;""""&amp;Instruments!A147&amp;"""")</f>
        <v/>
      </c>
      <c r="C146" s="0" t="str">
        <f aca="false">IF(ISBLANK(Instruments!A147),"",","&amp;""""&amp;Instruments!B$1&amp;""""&amp;":"&amp;""""&amp;Instruments!B147&amp;"""")</f>
        <v/>
      </c>
      <c r="D146" s="0" t="str">
        <f aca="false">IF(ISBLANK(Instruments!B147),"",","&amp;""""&amp;Instruments!C$1&amp;""""&amp;":"&amp;""""&amp;Instruments!C147&amp;"""")</f>
        <v/>
      </c>
      <c r="E146" s="0" t="str">
        <f aca="false">IF(ISBLANK(Instruments!C147),"",","&amp;""""&amp;Instruments!D$1&amp;""""&amp;":"&amp;""""&amp;TEXT(Instruments!D147,"yyyy-mm-dd")&amp;"""")</f>
        <v/>
      </c>
      <c r="F146" s="0" t="str">
        <f aca="false">IF(ISBLANK(Instruments!D147),"",","&amp;""""&amp;Instruments!E$1&amp;""""&amp;":"&amp;""""&amp;TEXT(Instruments!E147,"yyyy-mm-dd")&amp;"""")</f>
        <v/>
      </c>
      <c r="G146" s="0" t="str">
        <f aca="false">IF(ISBLANK(Instruments!E147),"",","&amp;""""&amp;Instruments!F$1&amp;""""&amp;":"&amp;""""&amp;Instruments!F147&amp;"""")</f>
        <v/>
      </c>
      <c r="H146" s="0" t="str">
        <f aca="false">IF(ISBLANK(Instruments!F147),"",","&amp;""""&amp;Instruments!G$1&amp;""""&amp;":"&amp;""""&amp;Instruments!G147&amp;"""")</f>
        <v/>
      </c>
      <c r="I146" s="0" t="str">
        <f aca="false">IF(ISBLANK(Instruments!G147),"",","&amp;""""&amp;Instruments!H$1&amp;""""&amp;":"&amp;""""&amp;Instruments!H147&amp;"""")</f>
        <v/>
      </c>
      <c r="J146" s="0" t="str">
        <f aca="false">IF(ISBLANK(Instruments!I147),"",","&amp;""""&amp;Instruments!I$1&amp;""""&amp;":"&amp;""""&amp;Instruments!I147&amp;""""&amp;"}")</f>
        <v/>
      </c>
    </row>
    <row r="147" customFormat="false" ht="15" hidden="false" customHeight="false" outlineLevel="0" collapsed="false">
      <c r="A147" s="0" t="str">
        <f aca="false">_xlfn.CONCAT(B147:J147)</f>
        <v/>
      </c>
      <c r="B147" s="0" t="str">
        <f aca="false">IF(ISBLANK(Instruments!A148),"","{"&amp;""""&amp;Instruments!A$1&amp;""""&amp;":"&amp;""""&amp;Instruments!A148&amp;"""")</f>
        <v/>
      </c>
      <c r="C147" s="0" t="str">
        <f aca="false">IF(ISBLANK(Instruments!A148),"",","&amp;""""&amp;Instruments!B$1&amp;""""&amp;":"&amp;""""&amp;Instruments!B148&amp;"""")</f>
        <v/>
      </c>
      <c r="D147" s="0" t="str">
        <f aca="false">IF(ISBLANK(Instruments!B148),"",","&amp;""""&amp;Instruments!C$1&amp;""""&amp;":"&amp;""""&amp;Instruments!C148&amp;"""")</f>
        <v/>
      </c>
      <c r="E147" s="0" t="str">
        <f aca="false">IF(ISBLANK(Instruments!C148),"",","&amp;""""&amp;Instruments!D$1&amp;""""&amp;":"&amp;""""&amp;TEXT(Instruments!D148,"yyyy-mm-dd")&amp;"""")</f>
        <v/>
      </c>
      <c r="F147" s="0" t="str">
        <f aca="false">IF(ISBLANK(Instruments!D148),"",","&amp;""""&amp;Instruments!E$1&amp;""""&amp;":"&amp;""""&amp;TEXT(Instruments!E148,"yyyy-mm-dd")&amp;"""")</f>
        <v/>
      </c>
      <c r="G147" s="0" t="str">
        <f aca="false">IF(ISBLANK(Instruments!E148),"",","&amp;""""&amp;Instruments!F$1&amp;""""&amp;":"&amp;""""&amp;Instruments!F148&amp;"""")</f>
        <v/>
      </c>
      <c r="H147" s="0" t="str">
        <f aca="false">IF(ISBLANK(Instruments!F148),"",","&amp;""""&amp;Instruments!G$1&amp;""""&amp;":"&amp;""""&amp;Instruments!G148&amp;"""")</f>
        <v/>
      </c>
      <c r="I147" s="0" t="str">
        <f aca="false">IF(ISBLANK(Instruments!G148),"",","&amp;""""&amp;Instruments!H$1&amp;""""&amp;":"&amp;""""&amp;Instruments!H148&amp;"""")</f>
        <v/>
      </c>
      <c r="J147" s="0" t="str">
        <f aca="false">IF(ISBLANK(Instruments!I148),"",","&amp;""""&amp;Instruments!I$1&amp;""""&amp;":"&amp;""""&amp;Instruments!I148&amp;""""&amp;"}")</f>
        <v/>
      </c>
    </row>
    <row r="148" customFormat="false" ht="15" hidden="false" customHeight="false" outlineLevel="0" collapsed="false">
      <c r="A148" s="0" t="str">
        <f aca="false">_xlfn.CONCAT(B148:J148)</f>
        <v/>
      </c>
      <c r="B148" s="0" t="str">
        <f aca="false">IF(ISBLANK(Instruments!A149),"","{"&amp;""""&amp;Instruments!A$1&amp;""""&amp;":"&amp;""""&amp;Instruments!A149&amp;"""")</f>
        <v/>
      </c>
      <c r="C148" s="0" t="str">
        <f aca="false">IF(ISBLANK(Instruments!A149),"",","&amp;""""&amp;Instruments!B$1&amp;""""&amp;":"&amp;""""&amp;Instruments!B149&amp;"""")</f>
        <v/>
      </c>
      <c r="D148" s="0" t="str">
        <f aca="false">IF(ISBLANK(Instruments!B149),"",","&amp;""""&amp;Instruments!C$1&amp;""""&amp;":"&amp;""""&amp;Instruments!C149&amp;"""")</f>
        <v/>
      </c>
      <c r="E148" s="0" t="str">
        <f aca="false">IF(ISBLANK(Instruments!C149),"",","&amp;""""&amp;Instruments!D$1&amp;""""&amp;":"&amp;""""&amp;TEXT(Instruments!D149,"yyyy-mm-dd")&amp;"""")</f>
        <v/>
      </c>
      <c r="F148" s="0" t="str">
        <f aca="false">IF(ISBLANK(Instruments!D149),"",","&amp;""""&amp;Instruments!E$1&amp;""""&amp;":"&amp;""""&amp;TEXT(Instruments!E149,"yyyy-mm-dd")&amp;"""")</f>
        <v/>
      </c>
      <c r="G148" s="0" t="str">
        <f aca="false">IF(ISBLANK(Instruments!E149),"",","&amp;""""&amp;Instruments!F$1&amp;""""&amp;":"&amp;""""&amp;Instruments!F149&amp;"""")</f>
        <v/>
      </c>
      <c r="H148" s="0" t="str">
        <f aca="false">IF(ISBLANK(Instruments!F149),"",","&amp;""""&amp;Instruments!G$1&amp;""""&amp;":"&amp;""""&amp;Instruments!G149&amp;"""")</f>
        <v/>
      </c>
      <c r="I148" s="0" t="str">
        <f aca="false">IF(ISBLANK(Instruments!G149),"",","&amp;""""&amp;Instruments!H$1&amp;""""&amp;":"&amp;""""&amp;Instruments!H149&amp;"""")</f>
        <v/>
      </c>
      <c r="J148" s="0" t="str">
        <f aca="false">IF(ISBLANK(Instruments!I149),"",","&amp;""""&amp;Instruments!I$1&amp;""""&amp;":"&amp;""""&amp;Instruments!I149&amp;""""&amp;"}")</f>
        <v/>
      </c>
    </row>
    <row r="149" customFormat="false" ht="15" hidden="false" customHeight="false" outlineLevel="0" collapsed="false">
      <c r="A149" s="0" t="str">
        <f aca="false">_xlfn.CONCAT(B149:J149)</f>
        <v/>
      </c>
      <c r="B149" s="0" t="str">
        <f aca="false">IF(ISBLANK(Instruments!A150),"","{"&amp;""""&amp;Instruments!A$1&amp;""""&amp;":"&amp;""""&amp;Instruments!A150&amp;"""")</f>
        <v/>
      </c>
      <c r="C149" s="0" t="str">
        <f aca="false">IF(ISBLANK(Instruments!A150),"",","&amp;""""&amp;Instruments!B$1&amp;""""&amp;":"&amp;""""&amp;Instruments!B150&amp;"""")</f>
        <v/>
      </c>
      <c r="D149" s="0" t="str">
        <f aca="false">IF(ISBLANK(Instruments!B150),"",","&amp;""""&amp;Instruments!C$1&amp;""""&amp;":"&amp;""""&amp;Instruments!C150&amp;"""")</f>
        <v/>
      </c>
      <c r="E149" s="0" t="str">
        <f aca="false">IF(ISBLANK(Instruments!C150),"",","&amp;""""&amp;Instruments!D$1&amp;""""&amp;":"&amp;""""&amp;TEXT(Instruments!D150,"yyyy-mm-dd")&amp;"""")</f>
        <v/>
      </c>
      <c r="F149" s="0" t="str">
        <f aca="false">IF(ISBLANK(Instruments!D150),"",","&amp;""""&amp;Instruments!E$1&amp;""""&amp;":"&amp;""""&amp;TEXT(Instruments!E150,"yyyy-mm-dd")&amp;"""")</f>
        <v/>
      </c>
      <c r="G149" s="0" t="str">
        <f aca="false">IF(ISBLANK(Instruments!E150),"",","&amp;""""&amp;Instruments!F$1&amp;""""&amp;":"&amp;""""&amp;Instruments!F150&amp;"""")</f>
        <v/>
      </c>
      <c r="H149" s="0" t="str">
        <f aca="false">IF(ISBLANK(Instruments!F150),"",","&amp;""""&amp;Instruments!G$1&amp;""""&amp;":"&amp;""""&amp;Instruments!G150&amp;"""")</f>
        <v/>
      </c>
      <c r="I149" s="0" t="str">
        <f aca="false">IF(ISBLANK(Instruments!G150),"",","&amp;""""&amp;Instruments!H$1&amp;""""&amp;":"&amp;""""&amp;Instruments!H150&amp;"""")</f>
        <v/>
      </c>
      <c r="J149" s="0" t="str">
        <f aca="false">IF(ISBLANK(Instruments!I150),"",","&amp;""""&amp;Instruments!I$1&amp;""""&amp;":"&amp;""""&amp;Instruments!I150&amp;""""&amp;"}")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3984375" defaultRowHeight="15" zeroHeight="false" outlineLevelRow="0" outlineLevelCol="0"/>
  <cols>
    <col collapsed="false" customWidth="true" hidden="false" outlineLevel="0" max="1" min="1" style="0" width="47.86"/>
    <col collapsed="false" customWidth="true" hidden="false" outlineLevel="0" max="2" min="2" style="0" width="13.29"/>
    <col collapsed="false" customWidth="true" hidden="false" outlineLevel="0" max="3" min="3" style="0" width="14"/>
    <col collapsed="false" customWidth="true" hidden="false" outlineLevel="0" max="4" min="4" style="0" width="7.72"/>
  </cols>
  <sheetData>
    <row r="1" customFormat="false" ht="15" hidden="false" customHeight="false" outlineLevel="0" collapsed="false">
      <c r="A1" s="0" t="e">
        <f aca="false">_xlfn.CONCAT(B1:D1)</f>
        <v>#NAME?</v>
      </c>
      <c r="B1" s="0" t="e">
        <f aca="false">IF(ISBLANK(Nodes!A2),"","{"&amp;""""&amp;Nodes!A$1&amp;""""&amp;":"&amp;""""&amp;Nodes!A2&amp;"""")</f>
        <v>#NAME?</v>
      </c>
      <c r="C1" s="0" t="e">
        <f aca="false">IF(ISBLANK(Nodes!B2),"",","&amp;""""&amp;Nodes!B$1&amp;""""&amp;":"&amp;""""&amp;TEXT(Nodes!B2,"yyyy-mm-dd")&amp;"""")</f>
        <v>#NAME?</v>
      </c>
      <c r="D1" s="0" t="str">
        <f aca="false">IF(Nodes!C2="","",","&amp;""""&amp;Nodes!C$1&amp;""""&amp;":"&amp;""""&amp;Nodes!C2&amp;""""&amp;"}")</f>
        <v>,"df":"1"}</v>
      </c>
    </row>
    <row r="2" customFormat="false" ht="15" hidden="false" customHeight="false" outlineLevel="0" collapsed="false">
      <c r="A2" s="0" t="e">
        <f aca="false">_xlfn.CONCAT(B2:D2)</f>
        <v>#NAME?</v>
      </c>
      <c r="B2" s="0" t="e">
        <f aca="false">IF(ISBLANK(Nodes!A3),"","{"&amp;""""&amp;Nodes!A$1&amp;""""&amp;":"&amp;""""&amp;Nodes!A3&amp;"""")</f>
        <v>#NAME?</v>
      </c>
      <c r="C2" s="0" t="e">
        <f aca="false">IF(ISBLANK(Nodes!B3),"",","&amp;""""&amp;Nodes!B$1&amp;""""&amp;":"&amp;""""&amp;TEXT(Nodes!B3,"yyyy-mm-dd")&amp;"""")</f>
        <v>#NAME?</v>
      </c>
      <c r="D2" s="0" t="str">
        <f aca="false">IF(Nodes!C3="","",","&amp;""""&amp;Nodes!C$1&amp;""""&amp;":"&amp;""""&amp;Nodes!C3&amp;""""&amp;"}")</f>
        <v>,"df":"1"}</v>
      </c>
    </row>
    <row r="3" customFormat="false" ht="15" hidden="false" customHeight="false" outlineLevel="0" collapsed="false">
      <c r="A3" s="0" t="e">
        <f aca="false">_xlfn.CONCAT(B3:D3)</f>
        <v>#NAME?</v>
      </c>
      <c r="B3" s="0" t="e">
        <f aca="false">IF(ISBLANK(Nodes!A4),"","{"&amp;""""&amp;Nodes!A$1&amp;""""&amp;":"&amp;""""&amp;Nodes!A4&amp;"""")</f>
        <v>#NAME?</v>
      </c>
      <c r="C3" s="0" t="e">
        <f aca="false">IF(ISBLANK(Nodes!B4),"",","&amp;""""&amp;Nodes!B$1&amp;""""&amp;":"&amp;""""&amp;TEXT(Nodes!B4,"yyyy-mm-dd")&amp;"""")</f>
        <v>#NAME?</v>
      </c>
      <c r="D3" s="0" t="str">
        <f aca="false">IF(Nodes!C4="","",","&amp;""""&amp;Nodes!C$1&amp;""""&amp;":"&amp;""""&amp;Nodes!C4&amp;""""&amp;"}")</f>
        <v>,"df":"1"}</v>
      </c>
    </row>
    <row r="4" customFormat="false" ht="15" hidden="false" customHeight="false" outlineLevel="0" collapsed="false">
      <c r="A4" s="0" t="e">
        <f aca="false">_xlfn.CONCAT(B4:D4)</f>
        <v>#NAME?</v>
      </c>
      <c r="B4" s="0" t="e">
        <f aca="false">IF(ISBLANK(Nodes!A5),"","{"&amp;""""&amp;Nodes!A$1&amp;""""&amp;":"&amp;""""&amp;Nodes!A5&amp;"""")</f>
        <v>#NAME?</v>
      </c>
      <c r="C4" s="0" t="e">
        <f aca="false">IF(ISBLANK(Nodes!B5),"",","&amp;""""&amp;Nodes!B$1&amp;""""&amp;":"&amp;""""&amp;TEXT(Nodes!B5,"yyyy-mm-dd")&amp;"""")</f>
        <v>#NAME?</v>
      </c>
      <c r="D4" s="0" t="str">
        <f aca="false">IF(Nodes!C5="","",","&amp;""""&amp;Nodes!C$1&amp;""""&amp;":"&amp;""""&amp;Nodes!C5&amp;""""&amp;"}")</f>
        <v>,"df":"1"}</v>
      </c>
    </row>
    <row r="5" customFormat="false" ht="15" hidden="false" customHeight="false" outlineLevel="0" collapsed="false">
      <c r="A5" s="0" t="e">
        <f aca="false">_xlfn.CONCAT(B5:D5)</f>
        <v>#NAME?</v>
      </c>
      <c r="B5" s="0" t="e">
        <f aca="false">IF(ISBLANK(Nodes!A6),"","{"&amp;""""&amp;Nodes!A$1&amp;""""&amp;":"&amp;""""&amp;Nodes!A6&amp;"""")</f>
        <v>#NAME?</v>
      </c>
      <c r="C5" s="0" t="e">
        <f aca="false">IF(ISBLANK(Nodes!B6),"",","&amp;""""&amp;Nodes!B$1&amp;""""&amp;":"&amp;""""&amp;TEXT(Nodes!B6,"yyyy-mm-dd")&amp;"""")</f>
        <v>#NAME?</v>
      </c>
      <c r="D5" s="0" t="str">
        <f aca="false">IF(Nodes!C6="","",","&amp;""""&amp;Nodes!C$1&amp;""""&amp;":"&amp;""""&amp;Nodes!C6&amp;""""&amp;"}")</f>
        <v>,"df":"1"}</v>
      </c>
    </row>
    <row r="6" customFormat="false" ht="15" hidden="false" customHeight="false" outlineLevel="0" collapsed="false">
      <c r="A6" s="0" t="e">
        <f aca="false">_xlfn.CONCAT(B6:D6)</f>
        <v>#NAME?</v>
      </c>
      <c r="B6" s="0" t="e">
        <f aca="false">IF(ISBLANK(Nodes!A7),"","{"&amp;""""&amp;Nodes!A$1&amp;""""&amp;":"&amp;""""&amp;Nodes!A7&amp;"""")</f>
        <v>#NAME?</v>
      </c>
      <c r="C6" s="0" t="e">
        <f aca="false">IF(ISBLANK(Nodes!B7),"",","&amp;""""&amp;Nodes!B$1&amp;""""&amp;":"&amp;""""&amp;TEXT(Nodes!B7,"yyyy-mm-dd")&amp;"""")</f>
        <v>#NAME?</v>
      </c>
      <c r="D6" s="0" t="str">
        <f aca="false">IF(Nodes!C7="","",","&amp;""""&amp;Nodes!C$1&amp;""""&amp;":"&amp;""""&amp;Nodes!C7&amp;""""&amp;"}")</f>
        <v>,"df":"1"}</v>
      </c>
    </row>
    <row r="7" customFormat="false" ht="15" hidden="false" customHeight="false" outlineLevel="0" collapsed="false">
      <c r="A7" s="0" t="e">
        <f aca="false">_xlfn.CONCAT(B7:D7)</f>
        <v>#NAME?</v>
      </c>
      <c r="B7" s="0" t="e">
        <f aca="false">IF(ISBLANK(Nodes!A8),"","{"&amp;""""&amp;Nodes!A$1&amp;""""&amp;":"&amp;""""&amp;Nodes!A8&amp;"""")</f>
        <v>#NAME?</v>
      </c>
      <c r="C7" s="0" t="e">
        <f aca="false">IF(ISBLANK(Nodes!B8),"",","&amp;""""&amp;Nodes!B$1&amp;""""&amp;":"&amp;""""&amp;TEXT(Nodes!B8,"yyyy-mm-dd")&amp;"""")</f>
        <v>#NAME?</v>
      </c>
      <c r="D7" s="0" t="str">
        <f aca="false">IF(Nodes!C8="","",","&amp;""""&amp;Nodes!C$1&amp;""""&amp;":"&amp;""""&amp;Nodes!C8&amp;""""&amp;"}")</f>
        <v>,"df":"1"}</v>
      </c>
    </row>
    <row r="8" customFormat="false" ht="15" hidden="false" customHeight="false" outlineLevel="0" collapsed="false">
      <c r="A8" s="0" t="e">
        <f aca="false">_xlfn.CONCAT(B8:D8)</f>
        <v>#NAME?</v>
      </c>
      <c r="B8" s="0" t="e">
        <f aca="false">IF(ISBLANK(Nodes!A9),"","{"&amp;""""&amp;Nodes!A$1&amp;""""&amp;":"&amp;""""&amp;Nodes!A9&amp;"""")</f>
        <v>#NAME?</v>
      </c>
      <c r="C8" s="0" t="e">
        <f aca="false">IF(ISBLANK(Nodes!B9),"",","&amp;""""&amp;Nodes!B$1&amp;""""&amp;":"&amp;""""&amp;TEXT(Nodes!B9,"yyyy-mm-dd")&amp;"""")</f>
        <v>#NAME?</v>
      </c>
      <c r="D8" s="0" t="str">
        <f aca="false">IF(Nodes!C9="","",","&amp;""""&amp;Nodes!C$1&amp;""""&amp;":"&amp;""""&amp;Nodes!C9&amp;""""&amp;"}")</f>
        <v>,"df":"1"}</v>
      </c>
    </row>
    <row r="9" customFormat="false" ht="15" hidden="false" customHeight="false" outlineLevel="0" collapsed="false">
      <c r="A9" s="0" t="e">
        <f aca="false">_xlfn.CONCAT(B9:D9)</f>
        <v>#NAME?</v>
      </c>
      <c r="B9" s="0" t="e">
        <f aca="false">IF(ISBLANK(Nodes!A10),"","{"&amp;""""&amp;Nodes!A$1&amp;""""&amp;":"&amp;""""&amp;Nodes!A10&amp;"""")</f>
        <v>#NAME?</v>
      </c>
      <c r="C9" s="0" t="e">
        <f aca="false">IF(ISBLANK(Nodes!B10),"",","&amp;""""&amp;Nodes!B$1&amp;""""&amp;":"&amp;""""&amp;TEXT(Nodes!B10,"yyyy-mm-dd")&amp;"""")</f>
        <v>#NAME?</v>
      </c>
      <c r="D9" s="0" t="str">
        <f aca="false">IF(Nodes!C10="","",","&amp;""""&amp;Nodes!C$1&amp;""""&amp;":"&amp;""""&amp;Nodes!C10&amp;""""&amp;"}")</f>
        <v>,"df":"1"}</v>
      </c>
    </row>
    <row r="10" customFormat="false" ht="15" hidden="false" customHeight="false" outlineLevel="0" collapsed="false">
      <c r="A10" s="0" t="e">
        <f aca="false">_xlfn.CONCAT(B10:D10)</f>
        <v>#NAME?</v>
      </c>
      <c r="B10" s="0" t="e">
        <f aca="false">IF(ISBLANK(Nodes!A11),"","{"&amp;""""&amp;Nodes!A$1&amp;""""&amp;":"&amp;""""&amp;Nodes!A11&amp;"""")</f>
        <v>#NAME?</v>
      </c>
      <c r="C10" s="0" t="e">
        <f aca="false">IF(ISBLANK(Nodes!B11),"",","&amp;""""&amp;Nodes!B$1&amp;""""&amp;":"&amp;""""&amp;TEXT(Nodes!B11,"yyyy-mm-dd")&amp;"""")</f>
        <v>#NAME?</v>
      </c>
      <c r="D10" s="0" t="str">
        <f aca="false">IF(Nodes!C11="","",","&amp;""""&amp;Nodes!C$1&amp;""""&amp;":"&amp;""""&amp;Nodes!C11&amp;""""&amp;"}")</f>
        <v>,"df":"1"}</v>
      </c>
    </row>
    <row r="11" customFormat="false" ht="15" hidden="false" customHeight="false" outlineLevel="0" collapsed="false">
      <c r="A11" s="0" t="e">
        <f aca="false">_xlfn.CONCAT(B11:D11)</f>
        <v>#NAME?</v>
      </c>
      <c r="B11" s="0" t="e">
        <f aca="false">IF(ISBLANK(Nodes!A12),"","{"&amp;""""&amp;Nodes!A$1&amp;""""&amp;":"&amp;""""&amp;Nodes!A12&amp;"""")</f>
        <v>#NAME?</v>
      </c>
      <c r="C11" s="0" t="e">
        <f aca="false">IF(ISBLANK(Nodes!B12),"",","&amp;""""&amp;Nodes!B$1&amp;""""&amp;":"&amp;""""&amp;TEXT(Nodes!B12,"yyyy-mm-dd")&amp;"""")</f>
        <v>#NAME?</v>
      </c>
      <c r="D11" s="0" t="str">
        <f aca="false">IF(Nodes!C12="","",","&amp;""""&amp;Nodes!C$1&amp;""""&amp;":"&amp;""""&amp;Nodes!C12&amp;""""&amp;"}")</f>
        <v>,"df":"1"}</v>
      </c>
    </row>
    <row r="12" customFormat="false" ht="15" hidden="false" customHeight="false" outlineLevel="0" collapsed="false">
      <c r="A12" s="0" t="e">
        <f aca="false">_xlfn.CONCAT(B12:D12)</f>
        <v>#NAME?</v>
      </c>
      <c r="B12" s="0" t="e">
        <f aca="false">IF(ISBLANK(Nodes!A13),"","{"&amp;""""&amp;Nodes!A$1&amp;""""&amp;":"&amp;""""&amp;Nodes!A13&amp;"""")</f>
        <v>#NAME?</v>
      </c>
      <c r="C12" s="0" t="e">
        <f aca="false">IF(ISBLANK(Nodes!B13),"",","&amp;""""&amp;Nodes!B$1&amp;""""&amp;":"&amp;""""&amp;TEXT(Nodes!B13,"yyyy-mm-dd")&amp;"""")</f>
        <v>#NAME?</v>
      </c>
      <c r="D12" s="0" t="str">
        <f aca="false">IF(Nodes!C13="","",","&amp;""""&amp;Nodes!C$1&amp;""""&amp;":"&amp;""""&amp;Nodes!C13&amp;""""&amp;"}")</f>
        <v>,"df":"1"}</v>
      </c>
    </row>
    <row r="13" customFormat="false" ht="15" hidden="false" customHeight="false" outlineLevel="0" collapsed="false">
      <c r="A13" s="0" t="e">
        <f aca="false">_xlfn.CONCAT(B13:D13)</f>
        <v>#NAME?</v>
      </c>
      <c r="B13" s="0" t="e">
        <f aca="false">IF(ISBLANK(Nodes!A14),"","{"&amp;""""&amp;Nodes!A$1&amp;""""&amp;":"&amp;""""&amp;Nodes!A14&amp;"""")</f>
        <v>#NAME?</v>
      </c>
      <c r="C13" s="0" t="e">
        <f aca="false">IF(ISBLANK(Nodes!B14),"",","&amp;""""&amp;Nodes!B$1&amp;""""&amp;":"&amp;""""&amp;TEXT(Nodes!B14,"yyyy-mm-dd")&amp;"""")</f>
        <v>#NAME?</v>
      </c>
      <c r="D13" s="0" t="str">
        <f aca="false">IF(Nodes!C14="","",","&amp;""""&amp;Nodes!C$1&amp;""""&amp;":"&amp;""""&amp;Nodes!C14&amp;""""&amp;"}")</f>
        <v>,"df":"1"}</v>
      </c>
    </row>
    <row r="14" customFormat="false" ht="15" hidden="false" customHeight="false" outlineLevel="0" collapsed="false">
      <c r="A14" s="0" t="e">
        <f aca="false">_xlfn.CONCAT(B14:D14)</f>
        <v>#NAME?</v>
      </c>
      <c r="B14" s="0" t="e">
        <f aca="false">IF(ISBLANK(Nodes!A15),"","{"&amp;""""&amp;Nodes!A$1&amp;""""&amp;":"&amp;""""&amp;Nodes!A15&amp;"""")</f>
        <v>#NAME?</v>
      </c>
      <c r="C14" s="0" t="e">
        <f aca="false">IF(ISBLANK(Nodes!B15),"",","&amp;""""&amp;Nodes!B$1&amp;""""&amp;":"&amp;""""&amp;TEXT(Nodes!B15,"yyyy-mm-dd")&amp;"""")</f>
        <v>#NAME?</v>
      </c>
      <c r="D14" s="0" t="str">
        <f aca="false">IF(Nodes!C15="","",","&amp;""""&amp;Nodes!C$1&amp;""""&amp;":"&amp;""""&amp;Nodes!C15&amp;""""&amp;"}")</f>
        <v>,"df":"1"}</v>
      </c>
    </row>
    <row r="15" customFormat="false" ht="15" hidden="false" customHeight="false" outlineLevel="0" collapsed="false">
      <c r="A15" s="0" t="e">
        <f aca="false">_xlfn.CONCAT(B15:D15)</f>
        <v>#NAME?</v>
      </c>
      <c r="B15" s="0" t="e">
        <f aca="false">IF(ISBLANK(Nodes!A16),"","{"&amp;""""&amp;Nodes!A$1&amp;""""&amp;":"&amp;""""&amp;Nodes!A16&amp;"""")</f>
        <v>#NAME?</v>
      </c>
      <c r="C15" s="0" t="e">
        <f aca="false">IF(ISBLANK(Nodes!B16),"",","&amp;""""&amp;Nodes!B$1&amp;""""&amp;":"&amp;""""&amp;TEXT(Nodes!B16,"yyyy-mm-dd")&amp;"""")</f>
        <v>#NAME?</v>
      </c>
      <c r="D15" s="0" t="str">
        <f aca="false">IF(Nodes!C16="","",","&amp;""""&amp;Nodes!C$1&amp;""""&amp;":"&amp;""""&amp;Nodes!C16&amp;""""&amp;"}")</f>
        <v>,"df":"1"}</v>
      </c>
    </row>
    <row r="16" customFormat="false" ht="15" hidden="false" customHeight="false" outlineLevel="0" collapsed="false">
      <c r="A16" s="0" t="e">
        <f aca="false">_xlfn.CONCAT(B16:D16)</f>
        <v>#NAME?</v>
      </c>
      <c r="B16" s="0" t="e">
        <f aca="false">IF(ISBLANK(Nodes!A17),"","{"&amp;""""&amp;Nodes!A$1&amp;""""&amp;":"&amp;""""&amp;Nodes!A17&amp;"""")</f>
        <v>#NAME?</v>
      </c>
      <c r="C16" s="0" t="e">
        <f aca="false">IF(ISBLANK(Nodes!B17),"",","&amp;""""&amp;Nodes!B$1&amp;""""&amp;":"&amp;""""&amp;TEXT(Nodes!B17,"yyyy-mm-dd")&amp;"""")</f>
        <v>#NAME?</v>
      </c>
      <c r="D16" s="0" t="str">
        <f aca="false">IF(Nodes!C17="","",","&amp;""""&amp;Nodes!C$1&amp;""""&amp;":"&amp;""""&amp;Nodes!C17&amp;""""&amp;"}")</f>
        <v>,"df":"1"}</v>
      </c>
    </row>
    <row r="17" customFormat="false" ht="15" hidden="false" customHeight="false" outlineLevel="0" collapsed="false">
      <c r="A17" s="0" t="e">
        <f aca="false">_xlfn.CONCAT(B17:D17)</f>
        <v>#NAME?</v>
      </c>
      <c r="B17" s="0" t="e">
        <f aca="false">IF(ISBLANK(Nodes!A18),"","{"&amp;""""&amp;Nodes!A$1&amp;""""&amp;":"&amp;""""&amp;Nodes!A18&amp;"""")</f>
        <v>#NAME?</v>
      </c>
      <c r="C17" s="0" t="e">
        <f aca="false">IF(ISBLANK(Nodes!B18),"",","&amp;""""&amp;Nodes!B$1&amp;""""&amp;":"&amp;""""&amp;TEXT(Nodes!B18,"yyyy-mm-dd")&amp;"""")</f>
        <v>#NAME?</v>
      </c>
      <c r="D17" s="0" t="str">
        <f aca="false">IF(Nodes!C18="","",","&amp;""""&amp;Nodes!C$1&amp;""""&amp;":"&amp;""""&amp;Nodes!C18&amp;""""&amp;"}")</f>
        <v>,"df":"1"}</v>
      </c>
    </row>
    <row r="18" customFormat="false" ht="15" hidden="false" customHeight="false" outlineLevel="0" collapsed="false">
      <c r="A18" s="0" t="e">
        <f aca="false">_xlfn.CONCAT(B18:D18)</f>
        <v>#NAME?</v>
      </c>
      <c r="B18" s="0" t="e">
        <f aca="false">IF(ISBLANK(Nodes!A19),"","{"&amp;""""&amp;Nodes!A$1&amp;""""&amp;":"&amp;""""&amp;Nodes!A19&amp;"""")</f>
        <v>#NAME?</v>
      </c>
      <c r="C18" s="0" t="e">
        <f aca="false">IF(ISBLANK(Nodes!B19),"",","&amp;""""&amp;Nodes!B$1&amp;""""&amp;":"&amp;""""&amp;TEXT(Nodes!B19,"yyyy-mm-dd")&amp;"""")</f>
        <v>#NAME?</v>
      </c>
      <c r="D18" s="0" t="str">
        <f aca="false">IF(Nodes!C19="","",","&amp;""""&amp;Nodes!C$1&amp;""""&amp;":"&amp;""""&amp;Nodes!C19&amp;""""&amp;"}")</f>
        <v>,"df":"1"}</v>
      </c>
    </row>
    <row r="19" customFormat="false" ht="15" hidden="false" customHeight="false" outlineLevel="0" collapsed="false">
      <c r="A19" s="0" t="e">
        <f aca="false">_xlfn.CONCAT(B19:D19)</f>
        <v>#NAME?</v>
      </c>
      <c r="B19" s="0" t="e">
        <f aca="false">IF(ISBLANK(Nodes!A20),"","{"&amp;""""&amp;Nodes!A$1&amp;""""&amp;":"&amp;""""&amp;Nodes!A20&amp;"""")</f>
        <v>#NAME?</v>
      </c>
      <c r="C19" s="0" t="e">
        <f aca="false">IF(ISBLANK(Nodes!B20),"",","&amp;""""&amp;Nodes!B$1&amp;""""&amp;":"&amp;""""&amp;TEXT(Nodes!B20,"yyyy-mm-dd")&amp;"""")</f>
        <v>#NAME?</v>
      </c>
      <c r="D19" s="0" t="str">
        <f aca="false">IF(Nodes!C20="","",","&amp;""""&amp;Nodes!C$1&amp;""""&amp;":"&amp;""""&amp;Nodes!C20&amp;""""&amp;"}")</f>
        <v>,"df":"1"}</v>
      </c>
    </row>
    <row r="20" customFormat="false" ht="15" hidden="false" customHeight="false" outlineLevel="0" collapsed="false">
      <c r="A20" s="0" t="e">
        <f aca="false">_xlfn.CONCAT(B20:D20)</f>
        <v>#NAME?</v>
      </c>
      <c r="B20" s="0" t="e">
        <f aca="false">IF(ISBLANK(Nodes!A21),"","{"&amp;""""&amp;Nodes!A$1&amp;""""&amp;":"&amp;""""&amp;Nodes!A21&amp;"""")</f>
        <v>#NAME?</v>
      </c>
      <c r="C20" s="0" t="e">
        <f aca="false">IF(ISBLANK(Nodes!B21),"",","&amp;""""&amp;Nodes!B$1&amp;""""&amp;":"&amp;""""&amp;TEXT(Nodes!B21,"yyyy-mm-dd")&amp;"""")</f>
        <v>#NAME?</v>
      </c>
      <c r="D20" s="0" t="str">
        <f aca="false">IF(Nodes!C21="","",","&amp;""""&amp;Nodes!C$1&amp;""""&amp;":"&amp;""""&amp;Nodes!C21&amp;""""&amp;"}")</f>
        <v>,"df":"1"}</v>
      </c>
    </row>
    <row r="21" customFormat="false" ht="15" hidden="false" customHeight="false" outlineLevel="0" collapsed="false">
      <c r="A21" s="0" t="e">
        <f aca="false">_xlfn.CONCAT(B21:D21)</f>
        <v>#NAME?</v>
      </c>
      <c r="B21" s="0" t="e">
        <f aca="false">IF(ISBLANK(Nodes!A22),"","{"&amp;""""&amp;Nodes!A$1&amp;""""&amp;":"&amp;""""&amp;Nodes!A22&amp;"""")</f>
        <v>#NAME?</v>
      </c>
      <c r="C21" s="0" t="e">
        <f aca="false">IF(ISBLANK(Nodes!B22),"",","&amp;""""&amp;Nodes!B$1&amp;""""&amp;":"&amp;""""&amp;TEXT(Nodes!B22,"yyyy-mm-dd")&amp;"""")</f>
        <v>#NAME?</v>
      </c>
      <c r="D21" s="0" t="str">
        <f aca="false">IF(Nodes!C22="","",","&amp;""""&amp;Nodes!C$1&amp;""""&amp;":"&amp;""""&amp;Nodes!C22&amp;""""&amp;"}")</f>
        <v>,"df":"1"}</v>
      </c>
    </row>
    <row r="22" customFormat="false" ht="15" hidden="false" customHeight="false" outlineLevel="0" collapsed="false">
      <c r="A22" s="0" t="e">
        <f aca="false">_xlfn.CONCAT(B22:D22)</f>
        <v>#NAME?</v>
      </c>
      <c r="B22" s="0" t="e">
        <f aca="false">IF(ISBLANK(Nodes!A23),"","{"&amp;""""&amp;Nodes!A$1&amp;""""&amp;":"&amp;""""&amp;Nodes!A23&amp;"""")</f>
        <v>#NAME?</v>
      </c>
      <c r="C22" s="0" t="e">
        <f aca="false">IF(ISBLANK(Nodes!B23),"",","&amp;""""&amp;Nodes!B$1&amp;""""&amp;":"&amp;""""&amp;TEXT(Nodes!B23,"yyyy-mm-dd")&amp;"""")</f>
        <v>#NAME?</v>
      </c>
      <c r="D22" s="0" t="str">
        <f aca="false">IF(Nodes!C23="","",","&amp;""""&amp;Nodes!C$1&amp;""""&amp;":"&amp;""""&amp;Nodes!C23&amp;""""&amp;"}")</f>
        <v>,"df":"1"}</v>
      </c>
    </row>
    <row r="23" customFormat="false" ht="15" hidden="false" customHeight="false" outlineLevel="0" collapsed="false">
      <c r="A23" s="0" t="e">
        <f aca="false">_xlfn.CONCAT(B23:D23)</f>
        <v>#NAME?</v>
      </c>
      <c r="B23" s="0" t="e">
        <f aca="false">IF(ISBLANK(Nodes!A24),"","{"&amp;""""&amp;Nodes!A$1&amp;""""&amp;":"&amp;""""&amp;Nodes!A24&amp;"""")</f>
        <v>#NAME?</v>
      </c>
      <c r="C23" s="0" t="e">
        <f aca="false">IF(ISBLANK(Nodes!B24),"",","&amp;""""&amp;Nodes!B$1&amp;""""&amp;":"&amp;""""&amp;TEXT(Nodes!B24,"yyyy-mm-dd")&amp;"""")</f>
        <v>#NAME?</v>
      </c>
      <c r="D23" s="0" t="str">
        <f aca="false">IF(Nodes!C24="","",","&amp;""""&amp;Nodes!C$1&amp;""""&amp;":"&amp;""""&amp;Nodes!C24&amp;""""&amp;"}")</f>
        <v>,"df":"1"}</v>
      </c>
    </row>
    <row r="24" customFormat="false" ht="15" hidden="false" customHeight="false" outlineLevel="0" collapsed="false">
      <c r="A24" s="0" t="e">
        <f aca="false">_xlfn.CONCAT(B24:D24)</f>
        <v>#NAME?</v>
      </c>
      <c r="B24" s="0" t="e">
        <f aca="false">IF(ISBLANK(Nodes!A25),"","{"&amp;""""&amp;Nodes!A$1&amp;""""&amp;":"&amp;""""&amp;Nodes!A25&amp;"""")</f>
        <v>#NAME?</v>
      </c>
      <c r="C24" s="0" t="e">
        <f aca="false">IF(ISBLANK(Nodes!B25),"",","&amp;""""&amp;Nodes!B$1&amp;""""&amp;":"&amp;""""&amp;TEXT(Nodes!B25,"yyyy-mm-dd")&amp;"""")</f>
        <v>#NAME?</v>
      </c>
      <c r="D24" s="0" t="str">
        <f aca="false">IF(Nodes!C25="","",","&amp;""""&amp;Nodes!C$1&amp;""""&amp;":"&amp;""""&amp;Nodes!C25&amp;""""&amp;"}")</f>
        <v>,"df":"1"}</v>
      </c>
    </row>
    <row r="25" customFormat="false" ht="15" hidden="false" customHeight="false" outlineLevel="0" collapsed="false">
      <c r="A25" s="0" t="e">
        <f aca="false">_xlfn.CONCAT(B25:D25)</f>
        <v>#NAME?</v>
      </c>
      <c r="B25" s="0" t="e">
        <f aca="false">IF(ISBLANK(Nodes!A26),"","{"&amp;""""&amp;Nodes!A$1&amp;""""&amp;":"&amp;""""&amp;Nodes!A26&amp;"""")</f>
        <v>#NAME?</v>
      </c>
      <c r="C25" s="0" t="e">
        <f aca="false">IF(ISBLANK(Nodes!B26),"",","&amp;""""&amp;Nodes!B$1&amp;""""&amp;":"&amp;""""&amp;TEXT(Nodes!B26,"yyyy-mm-dd")&amp;"""")</f>
        <v>#NAME?</v>
      </c>
      <c r="D25" s="0" t="str">
        <f aca="false">IF(Nodes!C26="","",","&amp;""""&amp;Nodes!C$1&amp;""""&amp;":"&amp;""""&amp;Nodes!C26&amp;""""&amp;"}")</f>
        <v>,"df":"1"}</v>
      </c>
    </row>
    <row r="26" customFormat="false" ht="15" hidden="false" customHeight="false" outlineLevel="0" collapsed="false">
      <c r="A26" s="0" t="e">
        <f aca="false">_xlfn.CONCAT(B26:D26)</f>
        <v>#NAME?</v>
      </c>
      <c r="B26" s="0" t="e">
        <f aca="false">IF(ISBLANK(Nodes!A27),"","{"&amp;""""&amp;Nodes!A$1&amp;""""&amp;":"&amp;""""&amp;Nodes!A27&amp;"""")</f>
        <v>#NAME?</v>
      </c>
      <c r="C26" s="0" t="e">
        <f aca="false">IF(ISBLANK(Nodes!B27),"",","&amp;""""&amp;Nodes!B$1&amp;""""&amp;":"&amp;""""&amp;TEXT(Nodes!B27,"yyyy-mm-dd")&amp;"""")</f>
        <v>#NAME?</v>
      </c>
      <c r="D26" s="0" t="str">
        <f aca="false">IF(Nodes!C27="","",","&amp;""""&amp;Nodes!C$1&amp;""""&amp;":"&amp;""""&amp;Nodes!C27&amp;""""&amp;"}")</f>
        <v>,"df":"1"}</v>
      </c>
    </row>
    <row r="27" customFormat="false" ht="15" hidden="false" customHeight="false" outlineLevel="0" collapsed="false">
      <c r="A27" s="0" t="e">
        <f aca="false">_xlfn.CONCAT(B27:D27)</f>
        <v>#NAME?</v>
      </c>
      <c r="B27" s="0" t="e">
        <f aca="false">IF(ISBLANK(Nodes!A28),"","{"&amp;""""&amp;Nodes!A$1&amp;""""&amp;":"&amp;""""&amp;Nodes!A28&amp;"""")</f>
        <v>#NAME?</v>
      </c>
      <c r="C27" s="0" t="e">
        <f aca="false">IF(ISBLANK(Nodes!B28),"",","&amp;""""&amp;Nodes!B$1&amp;""""&amp;":"&amp;""""&amp;TEXT(Nodes!B28,"yyyy-mm-dd")&amp;"""")</f>
        <v>#NAME?</v>
      </c>
      <c r="D27" s="0" t="str">
        <f aca="false">IF(Nodes!C28="","",","&amp;""""&amp;Nodes!C$1&amp;""""&amp;":"&amp;""""&amp;Nodes!C28&amp;""""&amp;"}")</f>
        <v>,"df":"1"}</v>
      </c>
    </row>
    <row r="28" customFormat="false" ht="15" hidden="false" customHeight="false" outlineLevel="0" collapsed="false">
      <c r="A28" s="0" t="str">
        <f aca="false">_xlfn.CONCAT(B28:D28)</f>
        <v/>
      </c>
      <c r="B28" s="0" t="str">
        <f aca="false">IF(ISBLANK(Nodes!A29),"","{"&amp;""""&amp;Nodes!A$1&amp;""""&amp;":"&amp;""""&amp;Nodes!A29&amp;"""")</f>
        <v/>
      </c>
      <c r="C28" s="0" t="str">
        <f aca="false">IF(ISBLANK(Nodes!B29),"",","&amp;""""&amp;Nodes!B$1&amp;""""&amp;":"&amp;""""&amp;TEXT(Nodes!B29,"yyyy-mm-dd")&amp;"""")</f>
        <v/>
      </c>
      <c r="D28" s="0" t="str">
        <f aca="false">IF(Nodes!C29="","",","&amp;""""&amp;Nodes!C$1&amp;""""&amp;":"&amp;""""&amp;Nodes!C29&amp;""""&amp;"}")</f>
        <v/>
      </c>
    </row>
    <row r="29" customFormat="false" ht="15" hidden="false" customHeight="false" outlineLevel="0" collapsed="false">
      <c r="A29" s="0" t="str">
        <f aca="false">_xlfn.CONCAT(B29:D29)</f>
        <v/>
      </c>
      <c r="B29" s="0" t="str">
        <f aca="false">IF(ISBLANK(Nodes!A30),"","{"&amp;""""&amp;Nodes!A$1&amp;""""&amp;":"&amp;""""&amp;Nodes!A30&amp;"""")</f>
        <v/>
      </c>
      <c r="C29" s="0" t="str">
        <f aca="false">IF(ISBLANK(Nodes!B30),"",","&amp;""""&amp;Nodes!B$1&amp;""""&amp;":"&amp;""""&amp;TEXT(Nodes!B30,"yyyy-mm-dd")&amp;"""")</f>
        <v/>
      </c>
      <c r="D29" s="0" t="str">
        <f aca="false">IF(Nodes!C30="","",","&amp;""""&amp;Nodes!C$1&amp;""""&amp;":"&amp;""""&amp;Nodes!C30&amp;""""&amp;"}")</f>
        <v/>
      </c>
    </row>
    <row r="30" customFormat="false" ht="15" hidden="false" customHeight="false" outlineLevel="0" collapsed="false">
      <c r="A30" s="0" t="str">
        <f aca="false">_xlfn.CONCAT(B30:D30)</f>
        <v/>
      </c>
      <c r="B30" s="0" t="str">
        <f aca="false">IF(ISBLANK(Nodes!A31),"","{"&amp;""""&amp;Nodes!A$1&amp;""""&amp;":"&amp;""""&amp;Nodes!A31&amp;"""")</f>
        <v/>
      </c>
      <c r="C30" s="0" t="str">
        <f aca="false">IF(ISBLANK(Nodes!B31),"",","&amp;""""&amp;Nodes!B$1&amp;""""&amp;":"&amp;""""&amp;TEXT(Nodes!B31,"yyyy-mm-dd")&amp;"""")</f>
        <v/>
      </c>
      <c r="D30" s="0" t="str">
        <f aca="false">IF(Nodes!C31="","",","&amp;""""&amp;Nodes!C$1&amp;""""&amp;":"&amp;""""&amp;Nodes!C31&amp;""""&amp;"}")</f>
        <v/>
      </c>
    </row>
    <row r="31" customFormat="false" ht="15" hidden="false" customHeight="false" outlineLevel="0" collapsed="false">
      <c r="A31" s="0" t="str">
        <f aca="false">_xlfn.CONCAT(B31:D31)</f>
        <v/>
      </c>
      <c r="B31" s="0" t="str">
        <f aca="false">IF(ISBLANK(Nodes!A32),"","{"&amp;""""&amp;Nodes!A$1&amp;""""&amp;":"&amp;""""&amp;Nodes!A32&amp;"""")</f>
        <v/>
      </c>
      <c r="C31" s="0" t="str">
        <f aca="false">IF(ISBLANK(Nodes!B32),"",","&amp;""""&amp;Nodes!B$1&amp;""""&amp;":"&amp;""""&amp;TEXT(Nodes!B32,"yyyy-mm-dd")&amp;"""")</f>
        <v/>
      </c>
      <c r="D31" s="0" t="str">
        <f aca="false">IF(Nodes!C32="","",","&amp;""""&amp;Nodes!C$1&amp;""""&amp;":"&amp;""""&amp;Nodes!C32&amp;""""&amp;"}")</f>
        <v/>
      </c>
    </row>
    <row r="32" customFormat="false" ht="15" hidden="false" customHeight="false" outlineLevel="0" collapsed="false">
      <c r="A32" s="0" t="str">
        <f aca="false">_xlfn.CONCAT(B32:D32)</f>
        <v/>
      </c>
      <c r="B32" s="0" t="str">
        <f aca="false">IF(ISBLANK(Nodes!A33),"","{"&amp;""""&amp;Nodes!A$1&amp;""""&amp;":"&amp;""""&amp;Nodes!A33&amp;"""")</f>
        <v/>
      </c>
      <c r="C32" s="0" t="str">
        <f aca="false">IF(ISBLANK(Nodes!B33),"",","&amp;""""&amp;Nodes!B$1&amp;""""&amp;":"&amp;""""&amp;TEXT(Nodes!B33,"yyyy-mm-dd")&amp;"""")</f>
        <v/>
      </c>
      <c r="D32" s="0" t="str">
        <f aca="false">IF(Nodes!C33="","",","&amp;""""&amp;Nodes!C$1&amp;""""&amp;":"&amp;""""&amp;Nodes!C33&amp;""""&amp;"}")</f>
        <v/>
      </c>
    </row>
    <row r="33" customFormat="false" ht="15" hidden="false" customHeight="false" outlineLevel="0" collapsed="false">
      <c r="A33" s="0" t="str">
        <f aca="false">_xlfn.CONCAT(B33:D33)</f>
        <v/>
      </c>
      <c r="B33" s="0" t="str">
        <f aca="false">IF(ISBLANK(Nodes!A34),"","{"&amp;""""&amp;Nodes!A$1&amp;""""&amp;":"&amp;""""&amp;Nodes!A34&amp;"""")</f>
        <v/>
      </c>
      <c r="C33" s="0" t="str">
        <f aca="false">IF(ISBLANK(Nodes!B34),"",","&amp;""""&amp;Nodes!B$1&amp;""""&amp;":"&amp;""""&amp;TEXT(Nodes!B34,"yyyy-mm-dd")&amp;"""")</f>
        <v/>
      </c>
      <c r="D33" s="0" t="str">
        <f aca="false">IF(Nodes!C34="","",","&amp;""""&amp;Nodes!C$1&amp;""""&amp;":"&amp;""""&amp;Nodes!C34&amp;""""&amp;"}")</f>
        <v/>
      </c>
    </row>
    <row r="34" customFormat="false" ht="15" hidden="false" customHeight="false" outlineLevel="0" collapsed="false">
      <c r="A34" s="0" t="str">
        <f aca="false">_xlfn.CONCAT(B34:D34)</f>
        <v/>
      </c>
      <c r="B34" s="0" t="str">
        <f aca="false">IF(ISBLANK(Nodes!A35),"","{"&amp;""""&amp;Nodes!A$1&amp;""""&amp;":"&amp;""""&amp;Nodes!A35&amp;"""")</f>
        <v/>
      </c>
      <c r="C34" s="0" t="str">
        <f aca="false">IF(ISBLANK(Nodes!B35),"",","&amp;""""&amp;Nodes!B$1&amp;""""&amp;":"&amp;""""&amp;TEXT(Nodes!B35,"yyyy-mm-dd")&amp;"""")</f>
        <v/>
      </c>
      <c r="D34" s="0" t="str">
        <f aca="false">IF(Nodes!C35="","",","&amp;""""&amp;Nodes!C$1&amp;""""&amp;":"&amp;""""&amp;Nodes!C35&amp;""""&amp;"}")</f>
        <v/>
      </c>
    </row>
    <row r="35" customFormat="false" ht="15" hidden="false" customHeight="false" outlineLevel="0" collapsed="false">
      <c r="A35" s="0" t="str">
        <f aca="false">_xlfn.CONCAT(B35:D35)</f>
        <v/>
      </c>
      <c r="B35" s="0" t="str">
        <f aca="false">IF(ISBLANK(Nodes!A36),"","{"&amp;""""&amp;Nodes!A$1&amp;""""&amp;":"&amp;""""&amp;Nodes!A36&amp;"""")</f>
        <v/>
      </c>
      <c r="C35" s="0" t="str">
        <f aca="false">IF(ISBLANK(Nodes!B36),"",","&amp;""""&amp;Nodes!B$1&amp;""""&amp;":"&amp;""""&amp;TEXT(Nodes!B36,"yyyy-mm-dd")&amp;"""")</f>
        <v/>
      </c>
      <c r="D35" s="0" t="str">
        <f aca="false">IF(Nodes!C36="","",","&amp;""""&amp;Nodes!C$1&amp;""""&amp;":"&amp;""""&amp;Nodes!C36&amp;""""&amp;"}")</f>
        <v/>
      </c>
    </row>
    <row r="36" customFormat="false" ht="15" hidden="false" customHeight="false" outlineLevel="0" collapsed="false">
      <c r="A36" s="0" t="str">
        <f aca="false">_xlfn.CONCAT(B36:D36)</f>
        <v/>
      </c>
      <c r="B36" s="0" t="str">
        <f aca="false">IF(ISBLANK(Nodes!A37),"","{"&amp;""""&amp;Nodes!A$1&amp;""""&amp;":"&amp;""""&amp;Nodes!A37&amp;"""")</f>
        <v/>
      </c>
      <c r="C36" s="0" t="str">
        <f aca="false">IF(ISBLANK(Nodes!B37),"",","&amp;""""&amp;Nodes!B$1&amp;""""&amp;":"&amp;""""&amp;TEXT(Nodes!B37,"yyyy-mm-dd")&amp;"""")</f>
        <v/>
      </c>
      <c r="D36" s="0" t="str">
        <f aca="false">IF(Nodes!C37="","",","&amp;""""&amp;Nodes!C$1&amp;""""&amp;":"&amp;""""&amp;Nodes!C37&amp;""""&amp;"}")</f>
        <v/>
      </c>
    </row>
    <row r="37" customFormat="false" ht="15" hidden="false" customHeight="false" outlineLevel="0" collapsed="false">
      <c r="A37" s="0" t="str">
        <f aca="false">_xlfn.CONCAT(B37:D37)</f>
        <v/>
      </c>
      <c r="B37" s="0" t="str">
        <f aca="false">IF(ISBLANK(Nodes!A38),"","{"&amp;""""&amp;Nodes!A$1&amp;""""&amp;":"&amp;""""&amp;Nodes!A38&amp;"""")</f>
        <v/>
      </c>
      <c r="C37" s="0" t="str">
        <f aca="false">IF(ISBLANK(Nodes!B38),"",","&amp;""""&amp;Nodes!B$1&amp;""""&amp;":"&amp;""""&amp;TEXT(Nodes!B38,"yyyy-mm-dd")&amp;"""")</f>
        <v/>
      </c>
      <c r="D37" s="0" t="str">
        <f aca="false">IF(Nodes!C38="","",","&amp;""""&amp;Nodes!C$1&amp;""""&amp;":"&amp;""""&amp;Nodes!C38&amp;""""&amp;"}")</f>
        <v/>
      </c>
    </row>
    <row r="38" customFormat="false" ht="15" hidden="false" customHeight="false" outlineLevel="0" collapsed="false">
      <c r="A38" s="0" t="str">
        <f aca="false">_xlfn.CONCAT(B38:D38)</f>
        <v/>
      </c>
      <c r="B38" s="0" t="str">
        <f aca="false">IF(ISBLANK(Nodes!A39),"","{"&amp;""""&amp;Nodes!A$1&amp;""""&amp;":"&amp;""""&amp;Nodes!A39&amp;"""")</f>
        <v/>
      </c>
      <c r="C38" s="0" t="str">
        <f aca="false">IF(ISBLANK(Nodes!B39),"",","&amp;""""&amp;Nodes!B$1&amp;""""&amp;":"&amp;""""&amp;TEXT(Nodes!B39,"yyyy-mm-dd")&amp;"""")</f>
        <v/>
      </c>
      <c r="D38" s="0" t="str">
        <f aca="false">IF(Nodes!C39="","",","&amp;""""&amp;Nodes!C$1&amp;""""&amp;":"&amp;""""&amp;Nodes!C39&amp;""""&amp;"}")</f>
        <v/>
      </c>
    </row>
    <row r="39" customFormat="false" ht="15" hidden="false" customHeight="false" outlineLevel="0" collapsed="false">
      <c r="A39" s="0" t="str">
        <f aca="false">_xlfn.CONCAT(B39:D39)</f>
        <v/>
      </c>
      <c r="B39" s="0" t="str">
        <f aca="false">IF(ISBLANK(Nodes!A40),"","{"&amp;""""&amp;Nodes!A$1&amp;""""&amp;":"&amp;""""&amp;Nodes!A40&amp;"""")</f>
        <v/>
      </c>
      <c r="C39" s="0" t="str">
        <f aca="false">IF(ISBLANK(Nodes!B40),"",","&amp;""""&amp;Nodes!B$1&amp;""""&amp;":"&amp;""""&amp;TEXT(Nodes!B40,"yyyy-mm-dd")&amp;"""")</f>
        <v/>
      </c>
      <c r="D39" s="0" t="str">
        <f aca="false">IF(Nodes!C40="","",","&amp;""""&amp;Nodes!C$1&amp;""""&amp;":"&amp;""""&amp;Nodes!C40&amp;""""&amp;"}")</f>
        <v/>
      </c>
    </row>
    <row r="40" customFormat="false" ht="15" hidden="false" customHeight="false" outlineLevel="0" collapsed="false">
      <c r="A40" s="0" t="str">
        <f aca="false">_xlfn.CONCAT(B40:D40)</f>
        <v/>
      </c>
      <c r="B40" s="0" t="str">
        <f aca="false">IF(ISBLANK(Nodes!A41),"","{"&amp;""""&amp;Nodes!A$1&amp;""""&amp;":"&amp;""""&amp;Nodes!A41&amp;"""")</f>
        <v/>
      </c>
      <c r="C40" s="0" t="str">
        <f aca="false">IF(ISBLANK(Nodes!B41),"",","&amp;""""&amp;Nodes!B$1&amp;""""&amp;":"&amp;""""&amp;TEXT(Nodes!B41,"yyyy-mm-dd")&amp;"""")</f>
        <v/>
      </c>
      <c r="D40" s="0" t="str">
        <f aca="false">IF(Nodes!C41="","",","&amp;""""&amp;Nodes!C$1&amp;""""&amp;":"&amp;""""&amp;Nodes!C41&amp;""""&amp;"}")</f>
        <v/>
      </c>
    </row>
    <row r="41" customFormat="false" ht="15" hidden="false" customHeight="false" outlineLevel="0" collapsed="false">
      <c r="A41" s="0" t="str">
        <f aca="false">_xlfn.CONCAT(B41:D41)</f>
        <v/>
      </c>
      <c r="B41" s="0" t="str">
        <f aca="false">IF(ISBLANK(Nodes!A42),"","{"&amp;""""&amp;Nodes!A$1&amp;""""&amp;":"&amp;""""&amp;Nodes!A42&amp;"""")</f>
        <v/>
      </c>
      <c r="C41" s="0" t="str">
        <f aca="false">IF(ISBLANK(Nodes!B42),"",","&amp;""""&amp;Nodes!B$1&amp;""""&amp;":"&amp;""""&amp;TEXT(Nodes!B42,"yyyy-mm-dd")&amp;"""")</f>
        <v/>
      </c>
      <c r="D41" s="0" t="str">
        <f aca="false">IF(Nodes!C42="","",","&amp;""""&amp;Nodes!C$1&amp;""""&amp;":"&amp;""""&amp;Nodes!C42&amp;""""&amp;"}")</f>
        <v/>
      </c>
    </row>
    <row r="42" customFormat="false" ht="15" hidden="false" customHeight="false" outlineLevel="0" collapsed="false">
      <c r="A42" s="0" t="str">
        <f aca="false">_xlfn.CONCAT(B42:D42)</f>
        <v/>
      </c>
      <c r="B42" s="0" t="str">
        <f aca="false">IF(ISBLANK(Nodes!A43),"","{"&amp;""""&amp;Nodes!A$1&amp;""""&amp;":"&amp;""""&amp;Nodes!A43&amp;"""")</f>
        <v/>
      </c>
      <c r="C42" s="0" t="str">
        <f aca="false">IF(ISBLANK(Nodes!B43),"",","&amp;""""&amp;Nodes!B$1&amp;""""&amp;":"&amp;""""&amp;TEXT(Nodes!B43,"yyyy-mm-dd")&amp;"""")</f>
        <v/>
      </c>
      <c r="D42" s="0" t="str">
        <f aca="false">IF(Nodes!C43="","",","&amp;""""&amp;Nodes!C$1&amp;""""&amp;":"&amp;""""&amp;Nodes!C43&amp;""""&amp;"}")</f>
        <v/>
      </c>
    </row>
    <row r="43" customFormat="false" ht="15" hidden="false" customHeight="false" outlineLevel="0" collapsed="false">
      <c r="A43" s="0" t="str">
        <f aca="false">_xlfn.CONCAT(B43:D43)</f>
        <v/>
      </c>
      <c r="B43" s="0" t="str">
        <f aca="false">IF(ISBLANK(Nodes!A44),"","{"&amp;""""&amp;Nodes!A$1&amp;""""&amp;":"&amp;""""&amp;Nodes!A44&amp;"""")</f>
        <v/>
      </c>
      <c r="C43" s="0" t="str">
        <f aca="false">IF(ISBLANK(Nodes!B44),"",","&amp;""""&amp;Nodes!B$1&amp;""""&amp;":"&amp;""""&amp;TEXT(Nodes!B44,"yyyy-mm-dd")&amp;"""")</f>
        <v/>
      </c>
      <c r="D43" s="0" t="str">
        <f aca="false">IF(Nodes!C44="","",","&amp;""""&amp;Nodes!C$1&amp;""""&amp;":"&amp;""""&amp;Nodes!C44&amp;""""&amp;"}")</f>
        <v/>
      </c>
    </row>
    <row r="44" customFormat="false" ht="15" hidden="false" customHeight="false" outlineLevel="0" collapsed="false">
      <c r="A44" s="0" t="str">
        <f aca="false">_xlfn.CONCAT(B44:D44)</f>
        <v/>
      </c>
      <c r="B44" s="0" t="str">
        <f aca="false">IF(ISBLANK(Nodes!A45),"","{"&amp;""""&amp;Nodes!A$1&amp;""""&amp;":"&amp;""""&amp;Nodes!A45&amp;"""")</f>
        <v/>
      </c>
      <c r="C44" s="0" t="str">
        <f aca="false">IF(ISBLANK(Nodes!B45),"",","&amp;""""&amp;Nodes!B$1&amp;""""&amp;":"&amp;""""&amp;TEXT(Nodes!B45,"yyyy-mm-dd")&amp;"""")</f>
        <v/>
      </c>
      <c r="D44" s="0" t="str">
        <f aca="false">IF(Nodes!C45="","",","&amp;""""&amp;Nodes!C$1&amp;""""&amp;":"&amp;""""&amp;Nodes!C45&amp;""""&amp;"}")</f>
        <v/>
      </c>
    </row>
    <row r="45" customFormat="false" ht="15" hidden="false" customHeight="false" outlineLevel="0" collapsed="false">
      <c r="A45" s="0" t="str">
        <f aca="false">_xlfn.CONCAT(B45:D45)</f>
        <v/>
      </c>
      <c r="B45" s="0" t="str">
        <f aca="false">IF(ISBLANK(Nodes!A46),"","{"&amp;""""&amp;Nodes!A$1&amp;""""&amp;":"&amp;""""&amp;Nodes!A46&amp;"""")</f>
        <v/>
      </c>
      <c r="C45" s="0" t="str">
        <f aca="false">IF(ISBLANK(Nodes!B46),"",","&amp;""""&amp;Nodes!B$1&amp;""""&amp;":"&amp;""""&amp;TEXT(Nodes!B46,"yyyy-mm-dd")&amp;"""")</f>
        <v/>
      </c>
      <c r="D45" s="0" t="str">
        <f aca="false">IF(Nodes!C46="","",","&amp;""""&amp;Nodes!C$1&amp;""""&amp;":"&amp;""""&amp;Nodes!C46&amp;""""&amp;"}")</f>
        <v/>
      </c>
    </row>
    <row r="46" customFormat="false" ht="15" hidden="false" customHeight="false" outlineLevel="0" collapsed="false">
      <c r="A46" s="0" t="str">
        <f aca="false">_xlfn.CONCAT(B46:D46)</f>
        <v/>
      </c>
      <c r="B46" s="0" t="str">
        <f aca="false">IF(ISBLANK(Nodes!A47),"","{"&amp;""""&amp;Nodes!A$1&amp;""""&amp;":"&amp;""""&amp;Nodes!A47&amp;"""")</f>
        <v/>
      </c>
      <c r="C46" s="0" t="str">
        <f aca="false">IF(ISBLANK(Nodes!B47),"",","&amp;""""&amp;Nodes!B$1&amp;""""&amp;":"&amp;""""&amp;TEXT(Nodes!B47,"yyyy-mm-dd")&amp;"""")</f>
        <v/>
      </c>
      <c r="D46" s="0" t="str">
        <f aca="false">IF(Nodes!C47="","",","&amp;""""&amp;Nodes!C$1&amp;""""&amp;":"&amp;""""&amp;Nodes!C47&amp;""""&amp;"}")</f>
        <v/>
      </c>
    </row>
    <row r="47" customFormat="false" ht="15" hidden="false" customHeight="false" outlineLevel="0" collapsed="false">
      <c r="A47" s="0" t="str">
        <f aca="false">_xlfn.CONCAT(B47:D47)</f>
        <v/>
      </c>
      <c r="B47" s="0" t="str">
        <f aca="false">IF(ISBLANK(Nodes!A48),"","{"&amp;""""&amp;Nodes!A$1&amp;""""&amp;":"&amp;""""&amp;Nodes!A48&amp;"""")</f>
        <v/>
      </c>
      <c r="C47" s="0" t="str">
        <f aca="false">IF(ISBLANK(Nodes!B48),"",","&amp;""""&amp;Nodes!B$1&amp;""""&amp;":"&amp;""""&amp;TEXT(Nodes!B48,"yyyy-mm-dd")&amp;"""")</f>
        <v/>
      </c>
      <c r="D47" s="0" t="str">
        <f aca="false">IF(Nodes!C48="","",","&amp;""""&amp;Nodes!C$1&amp;""""&amp;":"&amp;""""&amp;Nodes!C48&amp;""""&amp;"}")</f>
        <v/>
      </c>
    </row>
    <row r="48" customFormat="false" ht="15" hidden="false" customHeight="false" outlineLevel="0" collapsed="false">
      <c r="A48" s="0" t="str">
        <f aca="false">_xlfn.CONCAT(B48:D48)</f>
        <v/>
      </c>
      <c r="B48" s="0" t="str">
        <f aca="false">IF(ISBLANK(Nodes!A49),"","{"&amp;""""&amp;Nodes!A$1&amp;""""&amp;":"&amp;""""&amp;Nodes!A49&amp;"""")</f>
        <v/>
      </c>
      <c r="C48" s="0" t="str">
        <f aca="false">IF(ISBLANK(Nodes!B49),"",","&amp;""""&amp;Nodes!B$1&amp;""""&amp;":"&amp;""""&amp;TEXT(Nodes!B49,"yyyy-mm-dd")&amp;"""")</f>
        <v/>
      </c>
      <c r="D48" s="0" t="str">
        <f aca="false">IF(Nodes!C49="","",","&amp;""""&amp;Nodes!C$1&amp;""""&amp;":"&amp;""""&amp;Nodes!C49&amp;""""&amp;"}")</f>
        <v/>
      </c>
    </row>
    <row r="49" customFormat="false" ht="15" hidden="false" customHeight="false" outlineLevel="0" collapsed="false">
      <c r="A49" s="0" t="str">
        <f aca="false">_xlfn.CONCAT(B49:D49)</f>
        <v/>
      </c>
      <c r="B49" s="0" t="str">
        <f aca="false">IF(ISBLANK(Nodes!A50),"","{"&amp;""""&amp;Nodes!A$1&amp;""""&amp;":"&amp;""""&amp;Nodes!A50&amp;"""")</f>
        <v/>
      </c>
      <c r="C49" s="0" t="str">
        <f aca="false">IF(ISBLANK(Nodes!B50),"",","&amp;""""&amp;Nodes!B$1&amp;""""&amp;":"&amp;""""&amp;TEXT(Nodes!B50,"yyyy-mm-dd")&amp;"""")</f>
        <v/>
      </c>
      <c r="D49" s="0" t="str">
        <f aca="false">IF(Nodes!C50="","",","&amp;""""&amp;Nodes!C$1&amp;""""&amp;":"&amp;""""&amp;Nodes!C50&amp;""""&amp;"}")</f>
        <v/>
      </c>
    </row>
    <row r="50" customFormat="false" ht="15" hidden="false" customHeight="false" outlineLevel="0" collapsed="false">
      <c r="A50" s="0" t="str">
        <f aca="false">_xlfn.CONCAT(B50:D50)</f>
        <v/>
      </c>
      <c r="B50" s="0" t="str">
        <f aca="false">IF(ISBLANK(Nodes!A51),"","{"&amp;""""&amp;Nodes!A$1&amp;""""&amp;":"&amp;""""&amp;Nodes!A51&amp;"""")</f>
        <v/>
      </c>
      <c r="C50" s="0" t="str">
        <f aca="false">IF(ISBLANK(Nodes!B51),"",","&amp;""""&amp;Nodes!B$1&amp;""""&amp;":"&amp;""""&amp;TEXT(Nodes!B51,"yyyy-mm-dd")&amp;"""")</f>
        <v/>
      </c>
      <c r="D50" s="0" t="str">
        <f aca="false">IF(Nodes!C51="","",","&amp;""""&amp;Nodes!C$1&amp;""""&amp;":"&amp;""""&amp;Nodes!C51&amp;""""&amp;"}")</f>
        <v/>
      </c>
    </row>
    <row r="51" customFormat="false" ht="15" hidden="false" customHeight="false" outlineLevel="0" collapsed="false">
      <c r="A51" s="0" t="str">
        <f aca="false">_xlfn.CONCAT(B51:D51)</f>
        <v/>
      </c>
      <c r="B51" s="0" t="str">
        <f aca="false">IF(ISBLANK(Nodes!A52),"","{"&amp;""""&amp;Nodes!A$1&amp;""""&amp;":"&amp;""""&amp;Nodes!A52&amp;"""")</f>
        <v/>
      </c>
      <c r="C51" s="0" t="str">
        <f aca="false">IF(ISBLANK(Nodes!B52),"",","&amp;""""&amp;Nodes!B$1&amp;""""&amp;":"&amp;""""&amp;TEXT(Nodes!B52,"yyyy-mm-dd")&amp;"""")</f>
        <v/>
      </c>
      <c r="D51" s="0" t="str">
        <f aca="false">IF(Nodes!C52="","",","&amp;""""&amp;Nodes!C$1&amp;""""&amp;":"&amp;""""&amp;Nodes!C52&amp;""""&amp;"}")</f>
        <v/>
      </c>
    </row>
    <row r="52" customFormat="false" ht="15" hidden="false" customHeight="false" outlineLevel="0" collapsed="false">
      <c r="A52" s="0" t="str">
        <f aca="false">_xlfn.CONCAT(B52:D52)</f>
        <v/>
      </c>
      <c r="B52" s="0" t="str">
        <f aca="false">IF(ISBLANK(Nodes!A53),"","{"&amp;""""&amp;Nodes!A$1&amp;""""&amp;":"&amp;""""&amp;Nodes!A53&amp;"""")</f>
        <v/>
      </c>
      <c r="C52" s="0" t="str">
        <f aca="false">IF(ISBLANK(Nodes!B53),"",","&amp;""""&amp;Nodes!B$1&amp;""""&amp;":"&amp;""""&amp;TEXT(Nodes!B53,"yyyy-mm-dd")&amp;"""")</f>
        <v/>
      </c>
      <c r="D52" s="0" t="str">
        <f aca="false">IF(Nodes!C53="","",","&amp;""""&amp;Nodes!C$1&amp;""""&amp;":"&amp;""""&amp;Nodes!C53&amp;""""&amp;"}")</f>
        <v/>
      </c>
    </row>
    <row r="53" customFormat="false" ht="15" hidden="false" customHeight="false" outlineLevel="0" collapsed="false">
      <c r="A53" s="0" t="str">
        <f aca="false">_xlfn.CONCAT(B53:D53)</f>
        <v/>
      </c>
      <c r="B53" s="0" t="str">
        <f aca="false">IF(ISBLANK(Nodes!A54),"","{"&amp;""""&amp;Nodes!A$1&amp;""""&amp;":"&amp;""""&amp;Nodes!A54&amp;"""")</f>
        <v/>
      </c>
      <c r="C53" s="0" t="str">
        <f aca="false">IF(ISBLANK(Nodes!B54),"",","&amp;""""&amp;Nodes!B$1&amp;""""&amp;":"&amp;""""&amp;TEXT(Nodes!B54,"yyyy-mm-dd")&amp;"""")</f>
        <v/>
      </c>
      <c r="D53" s="0" t="str">
        <f aca="false">IF(Nodes!C54="","",","&amp;""""&amp;Nodes!C$1&amp;""""&amp;":"&amp;""""&amp;Nodes!C54&amp;""""&amp;"}")</f>
        <v/>
      </c>
    </row>
    <row r="54" customFormat="false" ht="15" hidden="false" customHeight="false" outlineLevel="0" collapsed="false">
      <c r="A54" s="0" t="str">
        <f aca="false">_xlfn.CONCAT(B54:D54)</f>
        <v/>
      </c>
      <c r="B54" s="0" t="str">
        <f aca="false">IF(ISBLANK(Nodes!A55),"","{"&amp;""""&amp;Nodes!A$1&amp;""""&amp;":"&amp;""""&amp;Nodes!A55&amp;"""")</f>
        <v/>
      </c>
      <c r="C54" s="0" t="str">
        <f aca="false">IF(ISBLANK(Nodes!B55),"",","&amp;""""&amp;Nodes!B$1&amp;""""&amp;":"&amp;""""&amp;TEXT(Nodes!B55,"yyyy-mm-dd")&amp;"""")</f>
        <v/>
      </c>
      <c r="D54" s="0" t="str">
        <f aca="false">IF(Nodes!C55="","",","&amp;""""&amp;Nodes!C$1&amp;""""&amp;":"&amp;""""&amp;Nodes!C55&amp;""""&amp;"}")</f>
        <v/>
      </c>
    </row>
    <row r="55" customFormat="false" ht="15" hidden="false" customHeight="false" outlineLevel="0" collapsed="false">
      <c r="A55" s="0" t="str">
        <f aca="false">_xlfn.CONCAT(B55:D55)</f>
        <v/>
      </c>
      <c r="B55" s="0" t="str">
        <f aca="false">IF(ISBLANK(Nodes!A56),"","{"&amp;""""&amp;Nodes!A$1&amp;""""&amp;":"&amp;""""&amp;Nodes!A56&amp;"""")</f>
        <v/>
      </c>
      <c r="C55" s="0" t="str">
        <f aca="false">IF(ISBLANK(Nodes!B56),"",","&amp;""""&amp;Nodes!B$1&amp;""""&amp;":"&amp;""""&amp;TEXT(Nodes!B56,"yyyy-mm-dd")&amp;"""")</f>
        <v/>
      </c>
      <c r="D55" s="0" t="str">
        <f aca="false">IF(Nodes!C56="","",","&amp;""""&amp;Nodes!C$1&amp;""""&amp;":"&amp;""""&amp;Nodes!C56&amp;""""&amp;"}")</f>
        <v/>
      </c>
    </row>
    <row r="56" customFormat="false" ht="15" hidden="false" customHeight="false" outlineLevel="0" collapsed="false">
      <c r="A56" s="0" t="str">
        <f aca="false">_xlfn.CONCAT(B56:D56)</f>
        <v/>
      </c>
      <c r="B56" s="0" t="str">
        <f aca="false">IF(ISBLANK(Nodes!A57),"","{"&amp;""""&amp;Nodes!A$1&amp;""""&amp;":"&amp;""""&amp;Nodes!A57&amp;"""")</f>
        <v/>
      </c>
      <c r="C56" s="0" t="str">
        <f aca="false">IF(ISBLANK(Nodes!B57),"",","&amp;""""&amp;Nodes!B$1&amp;""""&amp;":"&amp;""""&amp;TEXT(Nodes!B57,"yyyy-mm-dd")&amp;"""")</f>
        <v/>
      </c>
      <c r="D56" s="0" t="str">
        <f aca="false">IF(Nodes!C57="","",","&amp;""""&amp;Nodes!C$1&amp;""""&amp;":"&amp;""""&amp;Nodes!C57&amp;""""&amp;"}")</f>
        <v/>
      </c>
    </row>
    <row r="57" customFormat="false" ht="15" hidden="false" customHeight="false" outlineLevel="0" collapsed="false">
      <c r="A57" s="0" t="str">
        <f aca="false">_xlfn.CONCAT(B57:D57)</f>
        <v/>
      </c>
      <c r="B57" s="0" t="str">
        <f aca="false">IF(ISBLANK(Nodes!A58),"","{"&amp;""""&amp;Nodes!A$1&amp;""""&amp;":"&amp;""""&amp;Nodes!A58&amp;"""")</f>
        <v/>
      </c>
      <c r="C57" s="0" t="str">
        <f aca="false">IF(ISBLANK(Nodes!B58),"",","&amp;""""&amp;Nodes!B$1&amp;""""&amp;":"&amp;""""&amp;TEXT(Nodes!B58,"yyyy-mm-dd")&amp;"""")</f>
        <v/>
      </c>
      <c r="D57" s="0" t="str">
        <f aca="false">IF(Nodes!C58="","",","&amp;""""&amp;Nodes!C$1&amp;""""&amp;":"&amp;""""&amp;Nodes!C58&amp;""""&amp;"}")</f>
        <v/>
      </c>
    </row>
    <row r="58" customFormat="false" ht="15" hidden="false" customHeight="false" outlineLevel="0" collapsed="false">
      <c r="A58" s="0" t="str">
        <f aca="false">_xlfn.CONCAT(B58:D58)</f>
        <v/>
      </c>
      <c r="B58" s="0" t="str">
        <f aca="false">IF(ISBLANK(Nodes!A59),"","{"&amp;""""&amp;Nodes!A$1&amp;""""&amp;":"&amp;""""&amp;Nodes!A59&amp;"""")</f>
        <v/>
      </c>
      <c r="C58" s="0" t="str">
        <f aca="false">IF(ISBLANK(Nodes!B59),"",","&amp;""""&amp;Nodes!B$1&amp;""""&amp;":"&amp;""""&amp;TEXT(Nodes!B59,"yyyy-mm-dd")&amp;"""")</f>
        <v/>
      </c>
      <c r="D58" s="0" t="str">
        <f aca="false">IF(Nodes!C59="","",","&amp;""""&amp;Nodes!C$1&amp;""""&amp;":"&amp;""""&amp;Nodes!C59&amp;""""&amp;"}")</f>
        <v/>
      </c>
    </row>
    <row r="59" customFormat="false" ht="15" hidden="false" customHeight="false" outlineLevel="0" collapsed="false">
      <c r="A59" s="0" t="str">
        <f aca="false">_xlfn.CONCAT(B59:D59)</f>
        <v/>
      </c>
      <c r="B59" s="0" t="str">
        <f aca="false">IF(ISBLANK(Nodes!A60),"","{"&amp;""""&amp;Nodes!A$1&amp;""""&amp;":"&amp;""""&amp;Nodes!A60&amp;"""")</f>
        <v/>
      </c>
      <c r="C59" s="0" t="str">
        <f aca="false">IF(ISBLANK(Nodes!B60),"",","&amp;""""&amp;Nodes!B$1&amp;""""&amp;":"&amp;""""&amp;TEXT(Nodes!B60,"yyyy-mm-dd")&amp;"""")</f>
        <v/>
      </c>
      <c r="D59" s="0" t="str">
        <f aca="false">IF(Nodes!C60="","",","&amp;""""&amp;Nodes!C$1&amp;""""&amp;":"&amp;""""&amp;Nodes!C60&amp;""""&amp;"}")</f>
        <v/>
      </c>
    </row>
    <row r="60" customFormat="false" ht="15" hidden="false" customHeight="false" outlineLevel="0" collapsed="false">
      <c r="A60" s="0" t="str">
        <f aca="false">_xlfn.CONCAT(B60:D60)</f>
        <v/>
      </c>
      <c r="B60" s="0" t="str">
        <f aca="false">IF(ISBLANK(Nodes!A61),"","{"&amp;""""&amp;Nodes!A$1&amp;""""&amp;":"&amp;""""&amp;Nodes!A61&amp;"""")</f>
        <v/>
      </c>
      <c r="C60" s="0" t="str">
        <f aca="false">IF(ISBLANK(Nodes!B61),"",","&amp;""""&amp;Nodes!B$1&amp;""""&amp;":"&amp;""""&amp;TEXT(Nodes!B61,"yyyy-mm-dd")&amp;"""")</f>
        <v/>
      </c>
      <c r="D60" s="0" t="str">
        <f aca="false">IF(Nodes!C61="","",","&amp;""""&amp;Nodes!C$1&amp;""""&amp;":"&amp;""""&amp;Nodes!C61&amp;""""&amp;"}")</f>
        <v/>
      </c>
    </row>
    <row r="61" customFormat="false" ht="15" hidden="false" customHeight="false" outlineLevel="0" collapsed="false">
      <c r="A61" s="0" t="str">
        <f aca="false">_xlfn.CONCAT(B61:D61)</f>
        <v/>
      </c>
      <c r="B61" s="0" t="str">
        <f aca="false">IF(ISBLANK(Nodes!A62),"","{"&amp;""""&amp;Nodes!A$1&amp;""""&amp;":"&amp;""""&amp;Nodes!A62&amp;"""")</f>
        <v/>
      </c>
      <c r="C61" s="0" t="str">
        <f aca="false">IF(ISBLANK(Nodes!B62),"",","&amp;""""&amp;Nodes!B$1&amp;""""&amp;":"&amp;""""&amp;TEXT(Nodes!B62,"yyyy-mm-dd")&amp;"""")</f>
        <v/>
      </c>
      <c r="D61" s="0" t="str">
        <f aca="false">IF(Nodes!C62="","",","&amp;""""&amp;Nodes!C$1&amp;""""&amp;":"&amp;""""&amp;Nodes!C62&amp;""""&amp;"}")</f>
        <v/>
      </c>
    </row>
    <row r="62" customFormat="false" ht="15" hidden="false" customHeight="false" outlineLevel="0" collapsed="false">
      <c r="A62" s="0" t="str">
        <f aca="false">_xlfn.CONCAT(B62:D62)</f>
        <v/>
      </c>
      <c r="B62" s="0" t="str">
        <f aca="false">IF(ISBLANK(Nodes!A63),"","{"&amp;""""&amp;Nodes!A$1&amp;""""&amp;":"&amp;""""&amp;Nodes!A63&amp;"""")</f>
        <v/>
      </c>
      <c r="C62" s="0" t="str">
        <f aca="false">IF(ISBLANK(Nodes!B63),"",","&amp;""""&amp;Nodes!B$1&amp;""""&amp;":"&amp;""""&amp;TEXT(Nodes!B63,"yyyy-mm-dd")&amp;"""")</f>
        <v/>
      </c>
      <c r="D62" s="0" t="str">
        <f aca="false">IF(Nodes!C63="","",","&amp;""""&amp;Nodes!C$1&amp;""""&amp;":"&amp;""""&amp;Nodes!C63&amp;""""&amp;"}")</f>
        <v/>
      </c>
    </row>
    <row r="63" customFormat="false" ht="15" hidden="false" customHeight="false" outlineLevel="0" collapsed="false">
      <c r="A63" s="0" t="str">
        <f aca="false">_xlfn.CONCAT(B63:D63)</f>
        <v/>
      </c>
      <c r="B63" s="0" t="str">
        <f aca="false">IF(ISBLANK(Nodes!A64),"","{"&amp;""""&amp;Nodes!A$1&amp;""""&amp;":"&amp;""""&amp;Nodes!A64&amp;"""")</f>
        <v/>
      </c>
      <c r="C63" s="0" t="str">
        <f aca="false">IF(ISBLANK(Nodes!B64),"",","&amp;""""&amp;Nodes!B$1&amp;""""&amp;":"&amp;""""&amp;TEXT(Nodes!B64,"yyyy-mm-dd")&amp;"""")</f>
        <v/>
      </c>
      <c r="D63" s="0" t="str">
        <f aca="false">IF(Nodes!C64="","",","&amp;""""&amp;Nodes!C$1&amp;""""&amp;":"&amp;""""&amp;Nodes!C64&amp;""""&amp;"}")</f>
        <v/>
      </c>
    </row>
    <row r="64" customFormat="false" ht="15" hidden="false" customHeight="false" outlineLevel="0" collapsed="false">
      <c r="A64" s="0" t="str">
        <f aca="false">_xlfn.CONCAT(B64:D64)</f>
        <v/>
      </c>
      <c r="B64" s="0" t="str">
        <f aca="false">IF(ISBLANK(Nodes!A65),"","{"&amp;""""&amp;Nodes!A$1&amp;""""&amp;":"&amp;""""&amp;Nodes!A65&amp;"""")</f>
        <v/>
      </c>
      <c r="C64" s="0" t="str">
        <f aca="false">IF(ISBLANK(Nodes!B65),"",","&amp;""""&amp;Nodes!B$1&amp;""""&amp;":"&amp;""""&amp;TEXT(Nodes!B65,"yyyy-mm-dd")&amp;"""")</f>
        <v/>
      </c>
      <c r="D64" s="0" t="str">
        <f aca="false">IF(Nodes!C65="","",","&amp;""""&amp;Nodes!C$1&amp;""""&amp;":"&amp;""""&amp;Nodes!C65&amp;""""&amp;"}")</f>
        <v/>
      </c>
    </row>
    <row r="65" customFormat="false" ht="15" hidden="false" customHeight="false" outlineLevel="0" collapsed="false">
      <c r="A65" s="0" t="str">
        <f aca="false">_xlfn.CONCAT(B65:D65)</f>
        <v/>
      </c>
      <c r="B65" s="0" t="str">
        <f aca="false">IF(ISBLANK(Nodes!A66),"","{"&amp;""""&amp;Nodes!A$1&amp;""""&amp;":"&amp;""""&amp;Nodes!A66&amp;"""")</f>
        <v/>
      </c>
      <c r="C65" s="0" t="str">
        <f aca="false">IF(ISBLANK(Nodes!B66),"",","&amp;""""&amp;Nodes!B$1&amp;""""&amp;":"&amp;""""&amp;TEXT(Nodes!B66,"yyyy-mm-dd")&amp;"""")</f>
        <v/>
      </c>
      <c r="D65" s="0" t="str">
        <f aca="false">IF(Nodes!C66="","",","&amp;""""&amp;Nodes!C$1&amp;""""&amp;":"&amp;""""&amp;Nodes!C66&amp;""""&amp;"}")</f>
        <v/>
      </c>
    </row>
    <row r="66" customFormat="false" ht="15" hidden="false" customHeight="false" outlineLevel="0" collapsed="false">
      <c r="A66" s="0" t="str">
        <f aca="false">_xlfn.CONCAT(B66:D66)</f>
        <v/>
      </c>
      <c r="B66" s="0" t="str">
        <f aca="false">IF(ISBLANK(Nodes!A67),"","{"&amp;""""&amp;Nodes!A$1&amp;""""&amp;":"&amp;""""&amp;Nodes!A67&amp;"""")</f>
        <v/>
      </c>
      <c r="C66" s="0" t="str">
        <f aca="false">IF(ISBLANK(Nodes!B67),"",","&amp;""""&amp;Nodes!B$1&amp;""""&amp;":"&amp;""""&amp;TEXT(Nodes!B67,"yyyy-mm-dd")&amp;"""")</f>
        <v/>
      </c>
      <c r="D66" s="0" t="str">
        <f aca="false">IF(Nodes!C67="","",","&amp;""""&amp;Nodes!C$1&amp;""""&amp;":"&amp;""""&amp;Nodes!C67&amp;""""&amp;"}")</f>
        <v/>
      </c>
    </row>
    <row r="67" customFormat="false" ht="15" hidden="false" customHeight="false" outlineLevel="0" collapsed="false">
      <c r="A67" s="0" t="str">
        <f aca="false">_xlfn.CONCAT(B67:D67)</f>
        <v/>
      </c>
      <c r="B67" s="0" t="str">
        <f aca="false">IF(ISBLANK(Nodes!A68),"","{"&amp;""""&amp;Nodes!A$1&amp;""""&amp;":"&amp;""""&amp;Nodes!A68&amp;"""")</f>
        <v/>
      </c>
      <c r="C67" s="0" t="str">
        <f aca="false">IF(ISBLANK(Nodes!B68),"",","&amp;""""&amp;Nodes!B$1&amp;""""&amp;":"&amp;""""&amp;TEXT(Nodes!B68,"yyyy-mm-dd")&amp;"""")</f>
        <v/>
      </c>
      <c r="D67" s="0" t="str">
        <f aca="false">IF(Nodes!C68="","",","&amp;""""&amp;Nodes!C$1&amp;""""&amp;":"&amp;""""&amp;Nodes!C68&amp;""""&amp;"}")</f>
        <v/>
      </c>
    </row>
    <row r="68" customFormat="false" ht="15" hidden="false" customHeight="false" outlineLevel="0" collapsed="false">
      <c r="A68" s="0" t="str">
        <f aca="false">_xlfn.CONCAT(B68:D68)</f>
        <v/>
      </c>
      <c r="B68" s="0" t="str">
        <f aca="false">IF(ISBLANK(Nodes!A69),"","{"&amp;""""&amp;Nodes!A$1&amp;""""&amp;":"&amp;""""&amp;Nodes!A69&amp;"""")</f>
        <v/>
      </c>
      <c r="C68" s="0" t="str">
        <f aca="false">IF(ISBLANK(Nodes!B69),"",","&amp;""""&amp;Nodes!B$1&amp;""""&amp;":"&amp;""""&amp;TEXT(Nodes!B69,"yyyy-mm-dd")&amp;"""")</f>
        <v/>
      </c>
      <c r="D68" s="0" t="str">
        <f aca="false">IF(Nodes!C69="","",","&amp;""""&amp;Nodes!C$1&amp;""""&amp;":"&amp;""""&amp;Nodes!C69&amp;""""&amp;"}")</f>
        <v/>
      </c>
    </row>
    <row r="69" customFormat="false" ht="15" hidden="false" customHeight="false" outlineLevel="0" collapsed="false">
      <c r="A69" s="0" t="str">
        <f aca="false">_xlfn.CONCAT(B69:D69)</f>
        <v/>
      </c>
      <c r="B69" s="0" t="str">
        <f aca="false">IF(ISBLANK(Nodes!A70),"","{"&amp;""""&amp;Nodes!A$1&amp;""""&amp;":"&amp;""""&amp;Nodes!A70&amp;"""")</f>
        <v/>
      </c>
      <c r="C69" s="0" t="str">
        <f aca="false">IF(ISBLANK(Nodes!B70),"",","&amp;""""&amp;Nodes!B$1&amp;""""&amp;":"&amp;""""&amp;TEXT(Nodes!B70,"yyyy-mm-dd")&amp;"""")</f>
        <v/>
      </c>
      <c r="D69" s="0" t="str">
        <f aca="false">IF(Nodes!C70="","",","&amp;""""&amp;Nodes!C$1&amp;""""&amp;":"&amp;""""&amp;Nodes!C70&amp;""""&amp;"}")</f>
        <v/>
      </c>
    </row>
    <row r="70" customFormat="false" ht="15" hidden="false" customHeight="false" outlineLevel="0" collapsed="false">
      <c r="A70" s="0" t="str">
        <f aca="false">_xlfn.CONCAT(B70:D70)</f>
        <v/>
      </c>
      <c r="B70" s="0" t="str">
        <f aca="false">IF(ISBLANK(Nodes!A71),"","{"&amp;""""&amp;Nodes!A$1&amp;""""&amp;":"&amp;""""&amp;Nodes!A71&amp;"""")</f>
        <v/>
      </c>
      <c r="C70" s="0" t="str">
        <f aca="false">IF(ISBLANK(Nodes!B71),"",","&amp;""""&amp;Nodes!B$1&amp;""""&amp;":"&amp;""""&amp;TEXT(Nodes!B71,"yyyy-mm-dd")&amp;"""")</f>
        <v/>
      </c>
      <c r="D70" s="0" t="str">
        <f aca="false">IF(Nodes!C71="","",","&amp;""""&amp;Nodes!C$1&amp;""""&amp;":"&amp;""""&amp;Nodes!C71&amp;""""&amp;"}")</f>
        <v/>
      </c>
    </row>
    <row r="71" customFormat="false" ht="15" hidden="false" customHeight="false" outlineLevel="0" collapsed="false">
      <c r="A71" s="0" t="str">
        <f aca="false">_xlfn.CONCAT(B71:D71)</f>
        <v/>
      </c>
      <c r="B71" s="0" t="str">
        <f aca="false">IF(ISBLANK(Nodes!A72),"","{"&amp;""""&amp;Nodes!A$1&amp;""""&amp;":"&amp;""""&amp;Nodes!A72&amp;"""")</f>
        <v/>
      </c>
      <c r="C71" s="0" t="str">
        <f aca="false">IF(ISBLANK(Nodes!B72),"",","&amp;""""&amp;Nodes!B$1&amp;""""&amp;":"&amp;""""&amp;TEXT(Nodes!B72,"yyyy-mm-dd")&amp;"""")</f>
        <v/>
      </c>
      <c r="D71" s="0" t="str">
        <f aca="false">IF(Nodes!C72="","",","&amp;""""&amp;Nodes!C$1&amp;""""&amp;":"&amp;""""&amp;Nodes!C72&amp;""""&amp;"}")</f>
        <v/>
      </c>
    </row>
    <row r="72" customFormat="false" ht="15" hidden="false" customHeight="false" outlineLevel="0" collapsed="false">
      <c r="A72" s="0" t="str">
        <f aca="false">_xlfn.CONCAT(B72:D72)</f>
        <v/>
      </c>
      <c r="B72" s="0" t="str">
        <f aca="false">IF(ISBLANK(Nodes!A73),"","{"&amp;""""&amp;Nodes!A$1&amp;""""&amp;":"&amp;""""&amp;Nodes!A73&amp;"""")</f>
        <v/>
      </c>
      <c r="C72" s="0" t="str">
        <f aca="false">IF(ISBLANK(Nodes!B73),"",","&amp;""""&amp;Nodes!B$1&amp;""""&amp;":"&amp;""""&amp;TEXT(Nodes!B73,"yyyy-mm-dd")&amp;"""")</f>
        <v/>
      </c>
      <c r="D72" s="0" t="str">
        <f aca="false">IF(Nodes!C73="","",","&amp;""""&amp;Nodes!C$1&amp;""""&amp;":"&amp;""""&amp;Nodes!C73&amp;""""&amp;"}")</f>
        <v/>
      </c>
    </row>
    <row r="73" customFormat="false" ht="15" hidden="false" customHeight="false" outlineLevel="0" collapsed="false">
      <c r="A73" s="0" t="str">
        <f aca="false">_xlfn.CONCAT(B73:D73)</f>
        <v/>
      </c>
      <c r="B73" s="0" t="str">
        <f aca="false">IF(ISBLANK(Nodes!A74),"","{"&amp;""""&amp;Nodes!A$1&amp;""""&amp;":"&amp;""""&amp;Nodes!A74&amp;"""")</f>
        <v/>
      </c>
      <c r="C73" s="0" t="str">
        <f aca="false">IF(ISBLANK(Nodes!B74),"",","&amp;""""&amp;Nodes!B$1&amp;""""&amp;":"&amp;""""&amp;TEXT(Nodes!B74,"yyyy-mm-dd")&amp;"""")</f>
        <v/>
      </c>
      <c r="D73" s="0" t="str">
        <f aca="false">IF(Nodes!C74="","",","&amp;""""&amp;Nodes!C$1&amp;""""&amp;":"&amp;""""&amp;Nodes!C74&amp;""""&amp;"}")</f>
        <v/>
      </c>
    </row>
    <row r="74" customFormat="false" ht="15" hidden="false" customHeight="false" outlineLevel="0" collapsed="false">
      <c r="A74" s="0" t="str">
        <f aca="false">_xlfn.CONCAT(B74:D74)</f>
        <v/>
      </c>
      <c r="B74" s="0" t="str">
        <f aca="false">IF(ISBLANK(Nodes!A75),"","{"&amp;""""&amp;Nodes!A$1&amp;""""&amp;":"&amp;""""&amp;Nodes!A75&amp;"""")</f>
        <v/>
      </c>
      <c r="C74" s="0" t="str">
        <f aca="false">IF(ISBLANK(Nodes!B75),"",","&amp;""""&amp;Nodes!B$1&amp;""""&amp;":"&amp;""""&amp;TEXT(Nodes!B75,"yyyy-mm-dd")&amp;"""")</f>
        <v/>
      </c>
      <c r="D74" s="0" t="str">
        <f aca="false">IF(Nodes!C75="","",","&amp;""""&amp;Nodes!C$1&amp;""""&amp;":"&amp;""""&amp;Nodes!C75&amp;""""&amp;"}")</f>
        <v/>
      </c>
    </row>
    <row r="75" customFormat="false" ht="15" hidden="false" customHeight="false" outlineLevel="0" collapsed="false">
      <c r="A75" s="0" t="str">
        <f aca="false">_xlfn.CONCAT(B75:D75)</f>
        <v/>
      </c>
      <c r="B75" s="0" t="str">
        <f aca="false">IF(ISBLANK(Nodes!A76),"","{"&amp;""""&amp;Nodes!A$1&amp;""""&amp;":"&amp;""""&amp;Nodes!A76&amp;"""")</f>
        <v/>
      </c>
      <c r="C75" s="0" t="str">
        <f aca="false">IF(ISBLANK(Nodes!B76),"",","&amp;""""&amp;Nodes!B$1&amp;""""&amp;":"&amp;""""&amp;TEXT(Nodes!B76,"yyyy-mm-dd")&amp;"""")</f>
        <v/>
      </c>
      <c r="D75" s="0" t="str">
        <f aca="false">IF(Nodes!C76="","",","&amp;""""&amp;Nodes!C$1&amp;""""&amp;":"&amp;""""&amp;Nodes!C76&amp;""""&amp;"}")</f>
        <v/>
      </c>
    </row>
    <row r="76" customFormat="false" ht="15" hidden="false" customHeight="false" outlineLevel="0" collapsed="false">
      <c r="A76" s="0" t="str">
        <f aca="false">_xlfn.CONCAT(B76:D76)</f>
        <v/>
      </c>
      <c r="B76" s="0" t="str">
        <f aca="false">IF(ISBLANK(Nodes!A77),"","{"&amp;""""&amp;Nodes!A$1&amp;""""&amp;":"&amp;""""&amp;Nodes!A77&amp;"""")</f>
        <v/>
      </c>
      <c r="C76" s="0" t="str">
        <f aca="false">IF(ISBLANK(Nodes!B77),"",","&amp;""""&amp;Nodes!B$1&amp;""""&amp;":"&amp;""""&amp;TEXT(Nodes!B77,"yyyy-mm-dd")&amp;"""")</f>
        <v/>
      </c>
      <c r="D76" s="0" t="str">
        <f aca="false">IF(Nodes!C77="","",","&amp;""""&amp;Nodes!C$1&amp;""""&amp;":"&amp;""""&amp;Nodes!C77&amp;""""&amp;"}")</f>
        <v/>
      </c>
    </row>
    <row r="77" customFormat="false" ht="15" hidden="false" customHeight="false" outlineLevel="0" collapsed="false">
      <c r="A77" s="0" t="str">
        <f aca="false">_xlfn.CONCAT(B77:D77)</f>
        <v/>
      </c>
      <c r="B77" s="0" t="str">
        <f aca="false">IF(ISBLANK(Nodes!A78),"","{"&amp;""""&amp;Nodes!A$1&amp;""""&amp;":"&amp;""""&amp;Nodes!A78&amp;"""")</f>
        <v/>
      </c>
      <c r="C77" s="0" t="str">
        <f aca="false">IF(ISBLANK(Nodes!B78),"",","&amp;""""&amp;Nodes!B$1&amp;""""&amp;":"&amp;""""&amp;TEXT(Nodes!B78,"yyyy-mm-dd")&amp;"""")</f>
        <v/>
      </c>
      <c r="D77" s="0" t="str">
        <f aca="false">IF(Nodes!C78="","",","&amp;""""&amp;Nodes!C$1&amp;""""&amp;":"&amp;""""&amp;Nodes!C78&amp;""""&amp;"}")</f>
        <v/>
      </c>
    </row>
    <row r="78" customFormat="false" ht="15" hidden="false" customHeight="false" outlineLevel="0" collapsed="false">
      <c r="A78" s="0" t="str">
        <f aca="false">_xlfn.CONCAT(B78:D78)</f>
        <v/>
      </c>
      <c r="B78" s="0" t="str">
        <f aca="false">IF(ISBLANK(Nodes!A79),"","{"&amp;""""&amp;Nodes!A$1&amp;""""&amp;":"&amp;""""&amp;Nodes!A79&amp;"""")</f>
        <v/>
      </c>
      <c r="C78" s="0" t="str">
        <f aca="false">IF(ISBLANK(Nodes!B79),"",","&amp;""""&amp;Nodes!B$1&amp;""""&amp;":"&amp;""""&amp;TEXT(Nodes!B79,"yyyy-mm-dd")&amp;"""")</f>
        <v/>
      </c>
      <c r="D78" s="0" t="str">
        <f aca="false">IF(Nodes!C79="","",","&amp;""""&amp;Nodes!C$1&amp;""""&amp;":"&amp;""""&amp;Nodes!C79&amp;""""&amp;"}")</f>
        <v/>
      </c>
    </row>
    <row r="79" customFormat="false" ht="15" hidden="false" customHeight="false" outlineLevel="0" collapsed="false">
      <c r="A79" s="0" t="str">
        <f aca="false">_xlfn.CONCAT(B79:D79)</f>
        <v/>
      </c>
      <c r="B79" s="0" t="str">
        <f aca="false">IF(ISBLANK(Nodes!A80),"","{"&amp;""""&amp;Nodes!A$1&amp;""""&amp;":"&amp;""""&amp;Nodes!A80&amp;"""")</f>
        <v/>
      </c>
      <c r="C79" s="0" t="str">
        <f aca="false">IF(ISBLANK(Nodes!B80),"",","&amp;""""&amp;Nodes!B$1&amp;""""&amp;":"&amp;""""&amp;TEXT(Nodes!B80,"yyyy-mm-dd")&amp;"""")</f>
        <v/>
      </c>
      <c r="D79" s="0" t="str">
        <f aca="false">IF(Nodes!C80="","",","&amp;""""&amp;Nodes!C$1&amp;""""&amp;":"&amp;""""&amp;Nodes!C80&amp;""""&amp;"}")</f>
        <v/>
      </c>
    </row>
    <row r="80" customFormat="false" ht="15" hidden="false" customHeight="false" outlineLevel="0" collapsed="false">
      <c r="A80" s="0" t="str">
        <f aca="false">_xlfn.CONCAT(B80:D80)</f>
        <v/>
      </c>
      <c r="B80" s="0" t="str">
        <f aca="false">IF(ISBLANK(Nodes!A81),"","{"&amp;""""&amp;Nodes!A$1&amp;""""&amp;":"&amp;""""&amp;Nodes!A81&amp;"""")</f>
        <v/>
      </c>
      <c r="C80" s="0" t="str">
        <f aca="false">IF(ISBLANK(Nodes!B81),"",","&amp;""""&amp;Nodes!B$1&amp;""""&amp;":"&amp;""""&amp;TEXT(Nodes!B81,"yyyy-mm-dd")&amp;"""")</f>
        <v/>
      </c>
      <c r="D80" s="0" t="str">
        <f aca="false">IF(Nodes!C81="","",","&amp;""""&amp;Nodes!C$1&amp;""""&amp;":"&amp;""""&amp;Nodes!C81&amp;""""&amp;"}")</f>
        <v/>
      </c>
    </row>
    <row r="81" customFormat="false" ht="15" hidden="false" customHeight="false" outlineLevel="0" collapsed="false">
      <c r="A81" s="0" t="str">
        <f aca="false">_xlfn.CONCAT(B81:D81)</f>
        <v/>
      </c>
      <c r="B81" s="0" t="str">
        <f aca="false">IF(ISBLANK(Nodes!A82),"","{"&amp;""""&amp;Nodes!A$1&amp;""""&amp;":"&amp;""""&amp;Nodes!A82&amp;"""")</f>
        <v/>
      </c>
      <c r="C81" s="0" t="str">
        <f aca="false">IF(ISBLANK(Nodes!B82),"",","&amp;""""&amp;Nodes!B$1&amp;""""&amp;":"&amp;""""&amp;TEXT(Nodes!B82,"yyyy-mm-dd")&amp;"""")</f>
        <v/>
      </c>
      <c r="D81" s="0" t="str">
        <f aca="false">IF(Nodes!C82="","",","&amp;""""&amp;Nodes!C$1&amp;""""&amp;":"&amp;""""&amp;Nodes!C82&amp;""""&amp;"}")</f>
        <v/>
      </c>
    </row>
    <row r="82" customFormat="false" ht="15" hidden="false" customHeight="false" outlineLevel="0" collapsed="false">
      <c r="A82" s="0" t="str">
        <f aca="false">_xlfn.CONCAT(B82:D82)</f>
        <v/>
      </c>
      <c r="B82" s="0" t="str">
        <f aca="false">IF(ISBLANK(Nodes!A83),"","{"&amp;""""&amp;Nodes!A$1&amp;""""&amp;":"&amp;""""&amp;Nodes!A83&amp;"""")</f>
        <v/>
      </c>
      <c r="C82" s="0" t="str">
        <f aca="false">IF(ISBLANK(Nodes!B83),"",","&amp;""""&amp;Nodes!B$1&amp;""""&amp;":"&amp;""""&amp;TEXT(Nodes!B83,"yyyy-mm-dd")&amp;"""")</f>
        <v/>
      </c>
      <c r="D82" s="0" t="str">
        <f aca="false">IF(Nodes!C83="","",","&amp;""""&amp;Nodes!C$1&amp;""""&amp;":"&amp;""""&amp;Nodes!C83&amp;""""&amp;"}")</f>
        <v/>
      </c>
    </row>
    <row r="83" customFormat="false" ht="15" hidden="false" customHeight="false" outlineLevel="0" collapsed="false">
      <c r="A83" s="0" t="str">
        <f aca="false">_xlfn.CONCAT(B83:D83)</f>
        <v/>
      </c>
      <c r="B83" s="0" t="str">
        <f aca="false">IF(ISBLANK(Nodes!A84),"","{"&amp;""""&amp;Nodes!A$1&amp;""""&amp;":"&amp;""""&amp;Nodes!A84&amp;"""")</f>
        <v/>
      </c>
      <c r="C83" s="0" t="str">
        <f aca="false">IF(ISBLANK(Nodes!B84),"",","&amp;""""&amp;Nodes!B$1&amp;""""&amp;":"&amp;""""&amp;TEXT(Nodes!B84,"yyyy-mm-dd")&amp;"""")</f>
        <v/>
      </c>
      <c r="D83" s="0" t="str">
        <f aca="false">IF(Nodes!C84="","",","&amp;""""&amp;Nodes!C$1&amp;""""&amp;":"&amp;""""&amp;Nodes!C84&amp;""""&amp;"}")</f>
        <v/>
      </c>
    </row>
    <row r="84" customFormat="false" ht="15" hidden="false" customHeight="false" outlineLevel="0" collapsed="false">
      <c r="A84" s="0" t="str">
        <f aca="false">_xlfn.CONCAT(B84:D84)</f>
        <v/>
      </c>
      <c r="B84" s="0" t="str">
        <f aca="false">IF(ISBLANK(Nodes!A85),"","{"&amp;""""&amp;Nodes!A$1&amp;""""&amp;":"&amp;""""&amp;Nodes!A85&amp;"""")</f>
        <v/>
      </c>
      <c r="C84" s="0" t="str">
        <f aca="false">IF(ISBLANK(Nodes!B85),"",","&amp;""""&amp;Nodes!B$1&amp;""""&amp;":"&amp;""""&amp;TEXT(Nodes!B85,"yyyy-mm-dd")&amp;"""")</f>
        <v/>
      </c>
      <c r="D84" s="0" t="str">
        <f aca="false">IF(Nodes!C85="","",","&amp;""""&amp;Nodes!C$1&amp;""""&amp;":"&amp;""""&amp;Nodes!C85&amp;""""&amp;"}")</f>
        <v/>
      </c>
    </row>
    <row r="85" customFormat="false" ht="15" hidden="false" customHeight="false" outlineLevel="0" collapsed="false">
      <c r="A85" s="0" t="str">
        <f aca="false">_xlfn.CONCAT(B85:D85)</f>
        <v/>
      </c>
      <c r="B85" s="0" t="str">
        <f aca="false">IF(ISBLANK(Nodes!A86),"","{"&amp;""""&amp;Nodes!A$1&amp;""""&amp;":"&amp;""""&amp;Nodes!A86&amp;"""")</f>
        <v/>
      </c>
      <c r="C85" s="0" t="str">
        <f aca="false">IF(ISBLANK(Nodes!B86),"",","&amp;""""&amp;Nodes!B$1&amp;""""&amp;":"&amp;""""&amp;TEXT(Nodes!B86,"yyyy-mm-dd")&amp;"""")</f>
        <v/>
      </c>
      <c r="D85" s="0" t="str">
        <f aca="false">IF(Nodes!C86="","",","&amp;""""&amp;Nodes!C$1&amp;""""&amp;":"&amp;""""&amp;Nodes!C86&amp;""""&amp;"}")</f>
        <v/>
      </c>
    </row>
    <row r="86" customFormat="false" ht="15" hidden="false" customHeight="false" outlineLevel="0" collapsed="false">
      <c r="A86" s="0" t="str">
        <f aca="false">_xlfn.CONCAT(B86:D86)</f>
        <v/>
      </c>
      <c r="B86" s="0" t="str">
        <f aca="false">IF(ISBLANK(Nodes!A87),"","{"&amp;""""&amp;Nodes!A$1&amp;""""&amp;":"&amp;""""&amp;Nodes!A87&amp;"""")</f>
        <v/>
      </c>
      <c r="C86" s="0" t="str">
        <f aca="false">IF(ISBLANK(Nodes!B87),"",","&amp;""""&amp;Nodes!B$1&amp;""""&amp;":"&amp;""""&amp;TEXT(Nodes!B87,"yyyy-mm-dd")&amp;"""")</f>
        <v/>
      </c>
      <c r="D86" s="0" t="str">
        <f aca="false">IF(Nodes!C87="","",","&amp;""""&amp;Nodes!C$1&amp;""""&amp;":"&amp;""""&amp;Nodes!C87&amp;""""&amp;"}")</f>
        <v/>
      </c>
    </row>
    <row r="87" customFormat="false" ht="15" hidden="false" customHeight="false" outlineLevel="0" collapsed="false">
      <c r="A87" s="0" t="str">
        <f aca="false">_xlfn.CONCAT(B87:D87)</f>
        <v/>
      </c>
      <c r="B87" s="0" t="str">
        <f aca="false">IF(ISBLANK(Nodes!A88),"","{"&amp;""""&amp;Nodes!A$1&amp;""""&amp;":"&amp;""""&amp;Nodes!A88&amp;"""")</f>
        <v/>
      </c>
      <c r="C87" s="0" t="str">
        <f aca="false">IF(ISBLANK(Nodes!B88),"",","&amp;""""&amp;Nodes!B$1&amp;""""&amp;":"&amp;""""&amp;TEXT(Nodes!B88,"yyyy-mm-dd")&amp;"""")</f>
        <v/>
      </c>
      <c r="D87" s="0" t="str">
        <f aca="false">IF(Nodes!C88="","",","&amp;""""&amp;Nodes!C$1&amp;""""&amp;":"&amp;""""&amp;Nodes!C88&amp;""""&amp;"}")</f>
        <v/>
      </c>
    </row>
    <row r="88" customFormat="false" ht="15" hidden="false" customHeight="false" outlineLevel="0" collapsed="false">
      <c r="A88" s="0" t="str">
        <f aca="false">_xlfn.CONCAT(B88:D88)</f>
        <v/>
      </c>
      <c r="B88" s="0" t="str">
        <f aca="false">IF(ISBLANK(Nodes!A89),"","{"&amp;""""&amp;Nodes!A$1&amp;""""&amp;":"&amp;""""&amp;Nodes!A89&amp;"""")</f>
        <v/>
      </c>
      <c r="C88" s="0" t="str">
        <f aca="false">IF(ISBLANK(Nodes!B89),"",","&amp;""""&amp;Nodes!B$1&amp;""""&amp;":"&amp;""""&amp;TEXT(Nodes!B89,"yyyy-mm-dd")&amp;"""")</f>
        <v/>
      </c>
      <c r="D88" s="0" t="str">
        <f aca="false">IF(Nodes!C89="","",","&amp;""""&amp;Nodes!C$1&amp;""""&amp;":"&amp;""""&amp;Nodes!C89&amp;""""&amp;"}")</f>
        <v/>
      </c>
    </row>
    <row r="89" customFormat="false" ht="15" hidden="false" customHeight="false" outlineLevel="0" collapsed="false">
      <c r="A89" s="0" t="str">
        <f aca="false">_xlfn.CONCAT(B89:D89)</f>
        <v/>
      </c>
      <c r="B89" s="0" t="str">
        <f aca="false">IF(ISBLANK(Nodes!A90),"","{"&amp;""""&amp;Nodes!A$1&amp;""""&amp;":"&amp;""""&amp;Nodes!A90&amp;"""")</f>
        <v/>
      </c>
      <c r="C89" s="0" t="str">
        <f aca="false">IF(ISBLANK(Nodes!B90),"",","&amp;""""&amp;Nodes!B$1&amp;""""&amp;":"&amp;""""&amp;TEXT(Nodes!B90,"yyyy-mm-dd")&amp;"""")</f>
        <v/>
      </c>
      <c r="D89" s="0" t="str">
        <f aca="false">IF(Nodes!C90="","",","&amp;""""&amp;Nodes!C$1&amp;""""&amp;":"&amp;""""&amp;Nodes!C90&amp;""""&amp;"}")</f>
        <v/>
      </c>
    </row>
    <row r="90" customFormat="false" ht="15" hidden="false" customHeight="false" outlineLevel="0" collapsed="false">
      <c r="A90" s="0" t="str">
        <f aca="false">_xlfn.CONCAT(B90:D90)</f>
        <v/>
      </c>
      <c r="B90" s="0" t="str">
        <f aca="false">IF(ISBLANK(Nodes!A91),"","{"&amp;""""&amp;Nodes!A$1&amp;""""&amp;":"&amp;""""&amp;Nodes!A91&amp;"""")</f>
        <v/>
      </c>
      <c r="C90" s="0" t="str">
        <f aca="false">IF(ISBLANK(Nodes!B91),"",","&amp;""""&amp;Nodes!B$1&amp;""""&amp;":"&amp;""""&amp;TEXT(Nodes!B91,"yyyy-mm-dd")&amp;"""")</f>
        <v/>
      </c>
      <c r="D90" s="0" t="str">
        <f aca="false">IF(Nodes!C91="","",","&amp;""""&amp;Nodes!C$1&amp;""""&amp;":"&amp;""""&amp;Nodes!C91&amp;""""&amp;"}")</f>
        <v/>
      </c>
    </row>
    <row r="91" customFormat="false" ht="15" hidden="false" customHeight="false" outlineLevel="0" collapsed="false">
      <c r="A91" s="0" t="str">
        <f aca="false">_xlfn.CONCAT(B91:D91)</f>
        <v/>
      </c>
      <c r="B91" s="0" t="str">
        <f aca="false">IF(ISBLANK(Nodes!A92),"","{"&amp;""""&amp;Nodes!A$1&amp;""""&amp;":"&amp;""""&amp;Nodes!A92&amp;"""")</f>
        <v/>
      </c>
      <c r="C91" s="0" t="str">
        <f aca="false">IF(ISBLANK(Nodes!B92),"",","&amp;""""&amp;Nodes!B$1&amp;""""&amp;":"&amp;""""&amp;TEXT(Nodes!B92,"yyyy-mm-dd")&amp;"""")</f>
        <v/>
      </c>
      <c r="D91" s="0" t="str">
        <f aca="false">IF(Nodes!C92="","",","&amp;""""&amp;Nodes!C$1&amp;""""&amp;":"&amp;""""&amp;Nodes!C92&amp;""""&amp;"}")</f>
        <v/>
      </c>
    </row>
    <row r="92" customFormat="false" ht="15" hidden="false" customHeight="false" outlineLevel="0" collapsed="false">
      <c r="A92" s="0" t="str">
        <f aca="false">_xlfn.CONCAT(B92:D92)</f>
        <v/>
      </c>
      <c r="B92" s="0" t="str">
        <f aca="false">IF(ISBLANK(Nodes!A93),"","{"&amp;""""&amp;Nodes!A$1&amp;""""&amp;":"&amp;""""&amp;Nodes!A93&amp;"""")</f>
        <v/>
      </c>
      <c r="C92" s="0" t="str">
        <f aca="false">IF(ISBLANK(Nodes!B93),"",","&amp;""""&amp;Nodes!B$1&amp;""""&amp;":"&amp;""""&amp;TEXT(Nodes!B93,"yyyy-mm-dd")&amp;"""")</f>
        <v/>
      </c>
      <c r="D92" s="0" t="str">
        <f aca="false">IF(Nodes!C93="","",","&amp;""""&amp;Nodes!C$1&amp;""""&amp;":"&amp;""""&amp;Nodes!C93&amp;""""&amp;"}")</f>
        <v/>
      </c>
    </row>
    <row r="93" customFormat="false" ht="15" hidden="false" customHeight="false" outlineLevel="0" collapsed="false">
      <c r="A93" s="0" t="str">
        <f aca="false">_xlfn.CONCAT(B93:D93)</f>
        <v/>
      </c>
      <c r="B93" s="0" t="str">
        <f aca="false">IF(ISBLANK(Nodes!A94),"","{"&amp;""""&amp;Nodes!A$1&amp;""""&amp;":"&amp;""""&amp;Nodes!A94&amp;"""")</f>
        <v/>
      </c>
      <c r="C93" s="0" t="str">
        <f aca="false">IF(ISBLANK(Nodes!B94),"",","&amp;""""&amp;Nodes!B$1&amp;""""&amp;":"&amp;""""&amp;TEXT(Nodes!B94,"yyyy-mm-dd")&amp;"""")</f>
        <v/>
      </c>
      <c r="D93" s="0" t="str">
        <f aca="false">IF(Nodes!C94="","",","&amp;""""&amp;Nodes!C$1&amp;""""&amp;":"&amp;""""&amp;Nodes!C94&amp;""""&amp;"}")</f>
        <v/>
      </c>
    </row>
    <row r="94" customFormat="false" ht="15" hidden="false" customHeight="false" outlineLevel="0" collapsed="false">
      <c r="A94" s="0" t="str">
        <f aca="false">_xlfn.CONCAT(B94:D94)</f>
        <v/>
      </c>
      <c r="B94" s="0" t="str">
        <f aca="false">IF(ISBLANK(Nodes!A95),"","{"&amp;""""&amp;Nodes!A$1&amp;""""&amp;":"&amp;""""&amp;Nodes!A95&amp;"""")</f>
        <v/>
      </c>
      <c r="C94" s="0" t="str">
        <f aca="false">IF(ISBLANK(Nodes!B95),"",","&amp;""""&amp;Nodes!B$1&amp;""""&amp;":"&amp;""""&amp;TEXT(Nodes!B95,"yyyy-mm-dd")&amp;"""")</f>
        <v/>
      </c>
      <c r="D94" s="0" t="str">
        <f aca="false">IF(Nodes!C95="","",","&amp;""""&amp;Nodes!C$1&amp;""""&amp;":"&amp;""""&amp;Nodes!C95&amp;""""&amp;"}")</f>
        <v/>
      </c>
    </row>
    <row r="95" customFormat="false" ht="15" hidden="false" customHeight="false" outlineLevel="0" collapsed="false">
      <c r="A95" s="0" t="str">
        <f aca="false">_xlfn.CONCAT(B95:D95)</f>
        <v/>
      </c>
      <c r="B95" s="0" t="str">
        <f aca="false">IF(ISBLANK(Nodes!A96),"","{"&amp;""""&amp;Nodes!A$1&amp;""""&amp;":"&amp;""""&amp;Nodes!A96&amp;"""")</f>
        <v/>
      </c>
      <c r="C95" s="0" t="str">
        <f aca="false">IF(ISBLANK(Nodes!B96),"",","&amp;""""&amp;Nodes!B$1&amp;""""&amp;":"&amp;""""&amp;TEXT(Nodes!B96,"yyyy-mm-dd")&amp;"""")</f>
        <v/>
      </c>
      <c r="D95" s="0" t="str">
        <f aca="false">IF(Nodes!C96="","",","&amp;""""&amp;Nodes!C$1&amp;""""&amp;":"&amp;""""&amp;Nodes!C96&amp;""""&amp;"}")</f>
        <v/>
      </c>
    </row>
    <row r="96" customFormat="false" ht="15" hidden="false" customHeight="false" outlineLevel="0" collapsed="false">
      <c r="A96" s="0" t="str">
        <f aca="false">_xlfn.CONCAT(B96:D96)</f>
        <v/>
      </c>
      <c r="B96" s="0" t="str">
        <f aca="false">IF(ISBLANK(Nodes!A97),"","{"&amp;""""&amp;Nodes!A$1&amp;""""&amp;":"&amp;""""&amp;Nodes!A97&amp;"""")</f>
        <v/>
      </c>
      <c r="C96" s="0" t="str">
        <f aca="false">IF(ISBLANK(Nodes!B97),"",","&amp;""""&amp;Nodes!B$1&amp;""""&amp;":"&amp;""""&amp;TEXT(Nodes!B97,"yyyy-mm-dd")&amp;"""")</f>
        <v/>
      </c>
      <c r="D96" s="0" t="str">
        <f aca="false">IF(Nodes!C97="","",","&amp;""""&amp;Nodes!C$1&amp;""""&amp;":"&amp;""""&amp;Nodes!C97&amp;""""&amp;"}")</f>
        <v/>
      </c>
    </row>
    <row r="97" customFormat="false" ht="15" hidden="false" customHeight="false" outlineLevel="0" collapsed="false">
      <c r="A97" s="0" t="str">
        <f aca="false">_xlfn.CONCAT(B97:D97)</f>
        <v/>
      </c>
      <c r="B97" s="0" t="str">
        <f aca="false">IF(ISBLANK(Nodes!A98),"","{"&amp;""""&amp;Nodes!A$1&amp;""""&amp;":"&amp;""""&amp;Nodes!A98&amp;"""")</f>
        <v/>
      </c>
      <c r="C97" s="0" t="str">
        <f aca="false">IF(ISBLANK(Nodes!B98),"",","&amp;""""&amp;Nodes!B$1&amp;""""&amp;":"&amp;""""&amp;TEXT(Nodes!B98,"yyyy-mm-dd")&amp;"""")</f>
        <v/>
      </c>
      <c r="D97" s="0" t="str">
        <f aca="false">IF(Nodes!C98="","",","&amp;""""&amp;Nodes!C$1&amp;""""&amp;":"&amp;""""&amp;Nodes!C98&amp;""""&amp;"}")</f>
        <v/>
      </c>
    </row>
    <row r="98" customFormat="false" ht="15" hidden="false" customHeight="false" outlineLevel="0" collapsed="false">
      <c r="A98" s="0" t="str">
        <f aca="false">_xlfn.CONCAT(B98:D98)</f>
        <v/>
      </c>
      <c r="B98" s="0" t="str">
        <f aca="false">IF(ISBLANK(Nodes!A99),"","{"&amp;""""&amp;Nodes!A$1&amp;""""&amp;":"&amp;""""&amp;Nodes!A99&amp;"""")</f>
        <v/>
      </c>
      <c r="C98" s="0" t="str">
        <f aca="false">IF(ISBLANK(Nodes!B99),"",","&amp;""""&amp;Nodes!B$1&amp;""""&amp;":"&amp;""""&amp;TEXT(Nodes!B99,"yyyy-mm-dd")&amp;"""")</f>
        <v/>
      </c>
      <c r="D98" s="0" t="str">
        <f aca="false">IF(Nodes!C99="","",","&amp;""""&amp;Nodes!C$1&amp;""""&amp;":"&amp;""""&amp;Nodes!C99&amp;""""&amp;"}")</f>
        <v/>
      </c>
    </row>
    <row r="99" customFormat="false" ht="15" hidden="false" customHeight="false" outlineLevel="0" collapsed="false">
      <c r="A99" s="0" t="str">
        <f aca="false">_xlfn.CONCAT(B99:D99)</f>
        <v/>
      </c>
      <c r="B99" s="0" t="str">
        <f aca="false">IF(ISBLANK(Nodes!A100),"","{"&amp;""""&amp;Nodes!A$1&amp;""""&amp;":"&amp;""""&amp;Nodes!A100&amp;"""")</f>
        <v/>
      </c>
      <c r="C99" s="0" t="str">
        <f aca="false">IF(ISBLANK(Nodes!B100),"",","&amp;""""&amp;Nodes!B$1&amp;""""&amp;":"&amp;""""&amp;TEXT(Nodes!B100,"yyyy-mm-dd")&amp;"""")</f>
        <v/>
      </c>
      <c r="D99" s="0" t="str">
        <f aca="false">IF(Nodes!C100="","",","&amp;""""&amp;Nodes!C$1&amp;""""&amp;":"&amp;""""&amp;Nodes!C100&amp;""""&amp;"}")</f>
        <v/>
      </c>
    </row>
    <row r="100" customFormat="false" ht="15" hidden="false" customHeight="false" outlineLevel="0" collapsed="false">
      <c r="A100" s="0" t="str">
        <f aca="false">_xlfn.CONCAT(B100:D100)</f>
        <v/>
      </c>
      <c r="B100" s="0" t="str">
        <f aca="false">IF(ISBLANK(Nodes!A101),"","{"&amp;""""&amp;Nodes!A$1&amp;""""&amp;":"&amp;""""&amp;Nodes!A101&amp;"""")</f>
        <v/>
      </c>
      <c r="C100" s="0" t="str">
        <f aca="false">IF(ISBLANK(Nodes!B101),"",","&amp;""""&amp;Nodes!B$1&amp;""""&amp;":"&amp;""""&amp;TEXT(Nodes!B101,"yyyy-mm-dd")&amp;"""")</f>
        <v/>
      </c>
      <c r="D100" s="0" t="str">
        <f aca="false">IF(Nodes!C101="","",","&amp;""""&amp;Nodes!C$1&amp;""""&amp;":"&amp;""""&amp;Nodes!C101&amp;""""&amp;"}")</f>
        <v/>
      </c>
    </row>
    <row r="101" customFormat="false" ht="15" hidden="false" customHeight="false" outlineLevel="0" collapsed="false">
      <c r="A101" s="0" t="str">
        <f aca="false">_xlfn.CONCAT(B101:D101)</f>
        <v/>
      </c>
      <c r="B101" s="0" t="str">
        <f aca="false">IF(ISBLANK(Nodes!A102),"","{"&amp;""""&amp;Nodes!A$1&amp;""""&amp;":"&amp;""""&amp;Nodes!A102&amp;"""")</f>
        <v/>
      </c>
      <c r="C101" s="0" t="str">
        <f aca="false">IF(ISBLANK(Nodes!B102),"",","&amp;""""&amp;Nodes!B$1&amp;""""&amp;":"&amp;""""&amp;TEXT(Nodes!B102,"yyyy-mm-dd")&amp;"""")</f>
        <v/>
      </c>
      <c r="D101" s="0" t="str">
        <f aca="false">IF(Nodes!C102="","",","&amp;""""&amp;Nodes!C$1&amp;""""&amp;":"&amp;""""&amp;Nodes!C102&amp;""""&amp;"}")</f>
        <v/>
      </c>
    </row>
    <row r="102" customFormat="false" ht="15" hidden="false" customHeight="false" outlineLevel="0" collapsed="false">
      <c r="A102" s="0" t="str">
        <f aca="false">_xlfn.CONCAT(B102:D102)</f>
        <v/>
      </c>
      <c r="B102" s="0" t="str">
        <f aca="false">IF(ISBLANK(Nodes!A103),"","{"&amp;""""&amp;Nodes!A$1&amp;""""&amp;":"&amp;""""&amp;Nodes!A103&amp;"""")</f>
        <v/>
      </c>
      <c r="C102" s="0" t="str">
        <f aca="false">IF(ISBLANK(Nodes!B103),"",","&amp;""""&amp;Nodes!B$1&amp;""""&amp;":"&amp;""""&amp;TEXT(Nodes!B103,"yyyy-mm-dd")&amp;"""")</f>
        <v/>
      </c>
      <c r="D102" s="0" t="str">
        <f aca="false">IF(Nodes!C103="","",","&amp;""""&amp;Nodes!C$1&amp;""""&amp;":"&amp;""""&amp;Nodes!C103&amp;""""&amp;"}")</f>
        <v/>
      </c>
    </row>
    <row r="103" customFormat="false" ht="15" hidden="false" customHeight="false" outlineLevel="0" collapsed="false">
      <c r="A103" s="0" t="str">
        <f aca="false">_xlfn.CONCAT(B103:D103)</f>
        <v/>
      </c>
      <c r="B103" s="0" t="str">
        <f aca="false">IF(ISBLANK(Nodes!A104),"","{"&amp;""""&amp;Nodes!A$1&amp;""""&amp;":"&amp;""""&amp;Nodes!A104&amp;"""")</f>
        <v/>
      </c>
      <c r="C103" s="0" t="str">
        <f aca="false">IF(ISBLANK(Nodes!B104),"",","&amp;""""&amp;Nodes!B$1&amp;""""&amp;":"&amp;""""&amp;TEXT(Nodes!B104,"yyyy-mm-dd")&amp;"""")</f>
        <v/>
      </c>
      <c r="D103" s="0" t="str">
        <f aca="false">IF(Nodes!C104="","",","&amp;""""&amp;Nodes!C$1&amp;""""&amp;":"&amp;""""&amp;Nodes!C104&amp;""""&amp;"}")</f>
        <v/>
      </c>
    </row>
    <row r="104" customFormat="false" ht="15" hidden="false" customHeight="false" outlineLevel="0" collapsed="false">
      <c r="A104" s="0" t="str">
        <f aca="false">_xlfn.CONCAT(B104:D104)</f>
        <v/>
      </c>
      <c r="B104" s="0" t="str">
        <f aca="false">IF(ISBLANK(Nodes!A105),"","{"&amp;""""&amp;Nodes!A$1&amp;""""&amp;":"&amp;""""&amp;Nodes!A105&amp;"""")</f>
        <v/>
      </c>
      <c r="C104" s="0" t="str">
        <f aca="false">IF(ISBLANK(Nodes!B105),"",","&amp;""""&amp;Nodes!B$1&amp;""""&amp;":"&amp;""""&amp;TEXT(Nodes!B105,"yyyy-mm-dd")&amp;"""")</f>
        <v/>
      </c>
      <c r="D104" s="0" t="str">
        <f aca="false">IF(Nodes!C105="","",","&amp;""""&amp;Nodes!C$1&amp;""""&amp;":"&amp;""""&amp;Nodes!C105&amp;""""&amp;"}")</f>
        <v/>
      </c>
    </row>
    <row r="105" customFormat="false" ht="15" hidden="false" customHeight="false" outlineLevel="0" collapsed="false">
      <c r="A105" s="0" t="str">
        <f aca="false">_xlfn.CONCAT(B105:D105)</f>
        <v/>
      </c>
      <c r="B105" s="0" t="str">
        <f aca="false">IF(ISBLANK(Nodes!A106),"","{"&amp;""""&amp;Nodes!A$1&amp;""""&amp;":"&amp;""""&amp;Nodes!A106&amp;"""")</f>
        <v/>
      </c>
      <c r="C105" s="0" t="str">
        <f aca="false">IF(ISBLANK(Nodes!B106),"",","&amp;""""&amp;Nodes!B$1&amp;""""&amp;":"&amp;""""&amp;TEXT(Nodes!B106,"yyyy-mm-dd")&amp;"""")</f>
        <v/>
      </c>
      <c r="D105" s="0" t="str">
        <f aca="false">IF(Nodes!C106="","",","&amp;""""&amp;Nodes!C$1&amp;""""&amp;":"&amp;""""&amp;Nodes!C106&amp;""""&amp;"}")</f>
        <v/>
      </c>
    </row>
    <row r="106" customFormat="false" ht="15" hidden="false" customHeight="false" outlineLevel="0" collapsed="false">
      <c r="A106" s="0" t="str">
        <f aca="false">_xlfn.CONCAT(B106:D106)</f>
        <v/>
      </c>
      <c r="B106" s="0" t="str">
        <f aca="false">IF(ISBLANK(Nodes!A107),"","{"&amp;""""&amp;Nodes!A$1&amp;""""&amp;":"&amp;""""&amp;Nodes!A107&amp;"""")</f>
        <v/>
      </c>
      <c r="C106" s="0" t="str">
        <f aca="false">IF(ISBLANK(Nodes!B107),"",","&amp;""""&amp;Nodes!B$1&amp;""""&amp;":"&amp;""""&amp;TEXT(Nodes!B107,"yyyy-mm-dd")&amp;"""")</f>
        <v/>
      </c>
      <c r="D106" s="0" t="str">
        <f aca="false">IF(Nodes!C107="","",","&amp;""""&amp;Nodes!C$1&amp;""""&amp;":"&amp;""""&amp;Nodes!C107&amp;""""&amp;"}")</f>
        <v/>
      </c>
    </row>
    <row r="107" customFormat="false" ht="15" hidden="false" customHeight="false" outlineLevel="0" collapsed="false">
      <c r="A107" s="0" t="str">
        <f aca="false">_xlfn.CONCAT(B107:D107)</f>
        <v/>
      </c>
      <c r="B107" s="0" t="str">
        <f aca="false">IF(ISBLANK(Nodes!A108),"","{"&amp;""""&amp;Nodes!A$1&amp;""""&amp;":"&amp;""""&amp;Nodes!A108&amp;"""")</f>
        <v/>
      </c>
      <c r="C107" s="0" t="str">
        <f aca="false">IF(ISBLANK(Nodes!B108),"",","&amp;""""&amp;Nodes!B$1&amp;""""&amp;":"&amp;""""&amp;TEXT(Nodes!B108,"yyyy-mm-dd")&amp;"""")</f>
        <v/>
      </c>
      <c r="D107" s="0" t="str">
        <f aca="false">IF(Nodes!C108="","",","&amp;""""&amp;Nodes!C$1&amp;""""&amp;":"&amp;""""&amp;Nodes!C108&amp;""""&amp;"}")</f>
        <v/>
      </c>
    </row>
    <row r="108" customFormat="false" ht="15" hidden="false" customHeight="false" outlineLevel="0" collapsed="false">
      <c r="A108" s="0" t="str">
        <f aca="false">_xlfn.CONCAT(B108:D108)</f>
        <v/>
      </c>
      <c r="B108" s="0" t="str">
        <f aca="false">IF(ISBLANK(Nodes!A109),"","{"&amp;""""&amp;Nodes!A$1&amp;""""&amp;":"&amp;""""&amp;Nodes!A109&amp;"""")</f>
        <v/>
      </c>
      <c r="C108" s="0" t="str">
        <f aca="false">IF(ISBLANK(Nodes!B109),"",","&amp;""""&amp;Nodes!B$1&amp;""""&amp;":"&amp;""""&amp;TEXT(Nodes!B109,"yyyy-mm-dd")&amp;"""")</f>
        <v/>
      </c>
      <c r="D108" s="0" t="str">
        <f aca="false">IF(Nodes!C109="","",","&amp;""""&amp;Nodes!C$1&amp;""""&amp;":"&amp;""""&amp;Nodes!C109&amp;""""&amp;"}")</f>
        <v/>
      </c>
    </row>
    <row r="109" customFormat="false" ht="15" hidden="false" customHeight="false" outlineLevel="0" collapsed="false">
      <c r="A109" s="0" t="str">
        <f aca="false">_xlfn.CONCAT(B109:D109)</f>
        <v/>
      </c>
      <c r="B109" s="0" t="str">
        <f aca="false">IF(ISBLANK(Nodes!A110),"","{"&amp;""""&amp;Nodes!A$1&amp;""""&amp;":"&amp;""""&amp;Nodes!A110&amp;"""")</f>
        <v/>
      </c>
      <c r="C109" s="0" t="str">
        <f aca="false">IF(ISBLANK(Nodes!B110),"",","&amp;""""&amp;Nodes!B$1&amp;""""&amp;":"&amp;""""&amp;TEXT(Nodes!B110,"yyyy-mm-dd")&amp;"""")</f>
        <v/>
      </c>
      <c r="D109" s="0" t="str">
        <f aca="false">IF(Nodes!C110="","",","&amp;""""&amp;Nodes!C$1&amp;""""&amp;":"&amp;""""&amp;Nodes!C110&amp;""""&amp;"}")</f>
        <v/>
      </c>
    </row>
    <row r="110" customFormat="false" ht="15" hidden="false" customHeight="false" outlineLevel="0" collapsed="false">
      <c r="A110" s="0" t="str">
        <f aca="false">_xlfn.CONCAT(B110:D110)</f>
        <v/>
      </c>
      <c r="B110" s="0" t="str">
        <f aca="false">IF(ISBLANK(Nodes!A111),"","{"&amp;""""&amp;Nodes!A$1&amp;""""&amp;":"&amp;""""&amp;Nodes!A111&amp;"""")</f>
        <v/>
      </c>
      <c r="C110" s="0" t="str">
        <f aca="false">IF(ISBLANK(Nodes!B111),"",","&amp;""""&amp;Nodes!B$1&amp;""""&amp;":"&amp;""""&amp;TEXT(Nodes!B111,"yyyy-mm-dd")&amp;"""")</f>
        <v/>
      </c>
      <c r="D110" s="0" t="str">
        <f aca="false">IF(Nodes!C111="","",","&amp;""""&amp;Nodes!C$1&amp;""""&amp;":"&amp;""""&amp;Nodes!C111&amp;""""&amp;"}")</f>
        <v/>
      </c>
    </row>
    <row r="111" customFormat="false" ht="15" hidden="false" customHeight="false" outlineLevel="0" collapsed="false">
      <c r="A111" s="0" t="str">
        <f aca="false">_xlfn.CONCAT(B111:D111)</f>
        <v/>
      </c>
      <c r="B111" s="0" t="str">
        <f aca="false">IF(ISBLANK(Nodes!A112),"","{"&amp;""""&amp;Nodes!A$1&amp;""""&amp;":"&amp;""""&amp;Nodes!A112&amp;"""")</f>
        <v/>
      </c>
      <c r="C111" s="0" t="str">
        <f aca="false">IF(ISBLANK(Nodes!B112),"",","&amp;""""&amp;Nodes!B$1&amp;""""&amp;":"&amp;""""&amp;TEXT(Nodes!B112,"yyyy-mm-dd")&amp;"""")</f>
        <v/>
      </c>
      <c r="D111" s="0" t="str">
        <f aca="false">IF(Nodes!C112="","",","&amp;""""&amp;Nodes!C$1&amp;""""&amp;":"&amp;""""&amp;Nodes!C112&amp;""""&amp;"}")</f>
        <v/>
      </c>
    </row>
    <row r="112" customFormat="false" ht="15" hidden="false" customHeight="false" outlineLevel="0" collapsed="false">
      <c r="A112" s="0" t="str">
        <f aca="false">_xlfn.CONCAT(B112:D112)</f>
        <v/>
      </c>
      <c r="B112" s="0" t="str">
        <f aca="false">IF(ISBLANK(Nodes!A113),"","{"&amp;""""&amp;Nodes!A$1&amp;""""&amp;":"&amp;""""&amp;Nodes!A113&amp;"""")</f>
        <v/>
      </c>
      <c r="C112" s="0" t="str">
        <f aca="false">IF(ISBLANK(Nodes!B113),"",","&amp;""""&amp;Nodes!B$1&amp;""""&amp;":"&amp;""""&amp;TEXT(Nodes!B113,"yyyy-mm-dd")&amp;"""")</f>
        <v/>
      </c>
      <c r="D112" s="0" t="str">
        <f aca="false">IF(Nodes!C113="","",","&amp;""""&amp;Nodes!C$1&amp;""""&amp;":"&amp;""""&amp;Nodes!C113&amp;""""&amp;"}")</f>
        <v/>
      </c>
    </row>
    <row r="113" customFormat="false" ht="15" hidden="false" customHeight="false" outlineLevel="0" collapsed="false">
      <c r="A113" s="0" t="str">
        <f aca="false">_xlfn.CONCAT(B113:D113)</f>
        <v/>
      </c>
      <c r="B113" s="0" t="str">
        <f aca="false">IF(ISBLANK(Nodes!A114),"","{"&amp;""""&amp;Nodes!A$1&amp;""""&amp;":"&amp;""""&amp;Nodes!A114&amp;"""")</f>
        <v/>
      </c>
      <c r="C113" s="0" t="str">
        <f aca="false">IF(ISBLANK(Nodes!B114),"",","&amp;""""&amp;Nodes!B$1&amp;""""&amp;":"&amp;""""&amp;TEXT(Nodes!B114,"yyyy-mm-dd")&amp;"""")</f>
        <v/>
      </c>
      <c r="D113" s="0" t="str">
        <f aca="false">IF(Nodes!C114="","",","&amp;""""&amp;Nodes!C$1&amp;""""&amp;":"&amp;""""&amp;Nodes!C114&amp;""""&amp;"}")</f>
        <v/>
      </c>
    </row>
    <row r="114" customFormat="false" ht="15" hidden="false" customHeight="false" outlineLevel="0" collapsed="false">
      <c r="A114" s="0" t="str">
        <f aca="false">_xlfn.CONCAT(B114:D114)</f>
        <v/>
      </c>
      <c r="B114" s="0" t="str">
        <f aca="false">IF(ISBLANK(Nodes!A115),"","{"&amp;""""&amp;Nodes!A$1&amp;""""&amp;":"&amp;""""&amp;Nodes!A115&amp;"""")</f>
        <v/>
      </c>
      <c r="C114" s="0" t="str">
        <f aca="false">IF(ISBLANK(Nodes!B115),"",","&amp;""""&amp;Nodes!B$1&amp;""""&amp;":"&amp;""""&amp;TEXT(Nodes!B115,"yyyy-mm-dd")&amp;"""")</f>
        <v/>
      </c>
      <c r="D114" s="0" t="str">
        <f aca="false">IF(Nodes!C115="","",","&amp;""""&amp;Nodes!C$1&amp;""""&amp;":"&amp;""""&amp;Nodes!C115&amp;""""&amp;"}")</f>
        <v/>
      </c>
    </row>
    <row r="115" customFormat="false" ht="15" hidden="false" customHeight="false" outlineLevel="0" collapsed="false">
      <c r="A115" s="0" t="str">
        <f aca="false">_xlfn.CONCAT(B115:D115)</f>
        <v/>
      </c>
      <c r="B115" s="0" t="str">
        <f aca="false">IF(ISBLANK(Nodes!A116),"","{"&amp;""""&amp;Nodes!A$1&amp;""""&amp;":"&amp;""""&amp;Nodes!A116&amp;"""")</f>
        <v/>
      </c>
      <c r="C115" s="0" t="str">
        <f aca="false">IF(ISBLANK(Nodes!B116),"",","&amp;""""&amp;Nodes!B$1&amp;""""&amp;":"&amp;""""&amp;TEXT(Nodes!B116,"yyyy-mm-dd")&amp;"""")</f>
        <v/>
      </c>
      <c r="D115" s="0" t="str">
        <f aca="false">IF(Nodes!C116="","",","&amp;""""&amp;Nodes!C$1&amp;""""&amp;":"&amp;""""&amp;Nodes!C116&amp;""""&amp;"}")</f>
        <v/>
      </c>
    </row>
    <row r="116" customFormat="false" ht="15" hidden="false" customHeight="false" outlineLevel="0" collapsed="false">
      <c r="A116" s="0" t="str">
        <f aca="false">_xlfn.CONCAT(B116:D116)</f>
        <v/>
      </c>
      <c r="B116" s="0" t="str">
        <f aca="false">IF(ISBLANK(Nodes!A117),"","{"&amp;""""&amp;Nodes!A$1&amp;""""&amp;":"&amp;""""&amp;Nodes!A117&amp;"""")</f>
        <v/>
      </c>
      <c r="C116" s="0" t="str">
        <f aca="false">IF(ISBLANK(Nodes!B117),"",","&amp;""""&amp;Nodes!B$1&amp;""""&amp;":"&amp;""""&amp;TEXT(Nodes!B117,"yyyy-mm-dd")&amp;"""")</f>
        <v/>
      </c>
      <c r="D116" s="0" t="str">
        <f aca="false">IF(Nodes!C117="","",","&amp;""""&amp;Nodes!C$1&amp;""""&amp;":"&amp;""""&amp;Nodes!C117&amp;""""&amp;"}")</f>
        <v/>
      </c>
    </row>
    <row r="117" customFormat="false" ht="15" hidden="false" customHeight="false" outlineLevel="0" collapsed="false">
      <c r="A117" s="0" t="str">
        <f aca="false">_xlfn.CONCAT(B117:D117)</f>
        <v/>
      </c>
      <c r="B117" s="0" t="str">
        <f aca="false">IF(ISBLANK(Nodes!A118),"","{"&amp;""""&amp;Nodes!A$1&amp;""""&amp;":"&amp;""""&amp;Nodes!A118&amp;"""")</f>
        <v/>
      </c>
      <c r="C117" s="0" t="str">
        <f aca="false">IF(ISBLANK(Nodes!B118),"",","&amp;""""&amp;Nodes!B$1&amp;""""&amp;":"&amp;""""&amp;TEXT(Nodes!B118,"yyyy-mm-dd")&amp;"""")</f>
        <v/>
      </c>
      <c r="D117" s="0" t="str">
        <f aca="false">IF(Nodes!C118="","",","&amp;""""&amp;Nodes!C$1&amp;""""&amp;":"&amp;""""&amp;Nodes!C118&amp;""""&amp;"}")</f>
        <v/>
      </c>
    </row>
    <row r="118" customFormat="false" ht="15" hidden="false" customHeight="false" outlineLevel="0" collapsed="false">
      <c r="A118" s="0" t="str">
        <f aca="false">_xlfn.CONCAT(B118:D118)</f>
        <v/>
      </c>
      <c r="B118" s="0" t="str">
        <f aca="false">IF(ISBLANK(Nodes!A119),"","{"&amp;""""&amp;Nodes!A$1&amp;""""&amp;":"&amp;""""&amp;Nodes!A119&amp;"""")</f>
        <v/>
      </c>
      <c r="C118" s="0" t="str">
        <f aca="false">IF(ISBLANK(Nodes!B119),"",","&amp;""""&amp;Nodes!B$1&amp;""""&amp;":"&amp;""""&amp;TEXT(Nodes!B119,"yyyy-mm-dd")&amp;"""")</f>
        <v/>
      </c>
      <c r="D118" s="0" t="str">
        <f aca="false">IF(Nodes!C119="","",","&amp;""""&amp;Nodes!C$1&amp;""""&amp;":"&amp;""""&amp;Nodes!C119&amp;""""&amp;"}")</f>
        <v/>
      </c>
    </row>
    <row r="119" customFormat="false" ht="15" hidden="false" customHeight="false" outlineLevel="0" collapsed="false">
      <c r="A119" s="0" t="str">
        <f aca="false">_xlfn.CONCAT(B119:D119)</f>
        <v/>
      </c>
      <c r="B119" s="0" t="str">
        <f aca="false">IF(ISBLANK(Nodes!A120),"","{"&amp;""""&amp;Nodes!A$1&amp;""""&amp;":"&amp;""""&amp;Nodes!A120&amp;"""")</f>
        <v/>
      </c>
      <c r="C119" s="0" t="str">
        <f aca="false">IF(ISBLANK(Nodes!B120),"",","&amp;""""&amp;Nodes!B$1&amp;""""&amp;":"&amp;""""&amp;TEXT(Nodes!B120,"yyyy-mm-dd")&amp;"""")</f>
        <v/>
      </c>
      <c r="D119" s="0" t="str">
        <f aca="false">IF(Nodes!C120="","",","&amp;""""&amp;Nodes!C$1&amp;""""&amp;":"&amp;""""&amp;Nodes!C120&amp;""""&amp;"}")</f>
        <v/>
      </c>
    </row>
    <row r="120" customFormat="false" ht="15" hidden="false" customHeight="false" outlineLevel="0" collapsed="false">
      <c r="A120" s="0" t="str">
        <f aca="false">_xlfn.CONCAT(B120:D120)</f>
        <v/>
      </c>
      <c r="B120" s="0" t="str">
        <f aca="false">IF(ISBLANK(Nodes!A121),"","{"&amp;""""&amp;Nodes!A$1&amp;""""&amp;":"&amp;""""&amp;Nodes!A121&amp;"""")</f>
        <v/>
      </c>
      <c r="C120" s="0" t="str">
        <f aca="false">IF(ISBLANK(Nodes!B121),"",","&amp;""""&amp;Nodes!B$1&amp;""""&amp;":"&amp;""""&amp;TEXT(Nodes!B121,"yyyy-mm-dd")&amp;"""")</f>
        <v/>
      </c>
      <c r="D120" s="0" t="str">
        <f aca="false">IF(Nodes!C121="","",","&amp;""""&amp;Nodes!C$1&amp;""""&amp;":"&amp;""""&amp;Nodes!C121&amp;""""&amp;"}")</f>
        <v/>
      </c>
    </row>
    <row r="121" customFormat="false" ht="15" hidden="false" customHeight="false" outlineLevel="0" collapsed="false">
      <c r="A121" s="0" t="str">
        <f aca="false">_xlfn.CONCAT(B121:D121)</f>
        <v/>
      </c>
      <c r="B121" s="0" t="str">
        <f aca="false">IF(ISBLANK(Nodes!A122),"","{"&amp;""""&amp;Nodes!A$1&amp;""""&amp;":"&amp;""""&amp;Nodes!A122&amp;"""")</f>
        <v/>
      </c>
      <c r="C121" s="0" t="str">
        <f aca="false">IF(ISBLANK(Nodes!B122),"",","&amp;""""&amp;Nodes!B$1&amp;""""&amp;":"&amp;""""&amp;TEXT(Nodes!B122,"yyyy-mm-dd")&amp;"""")</f>
        <v/>
      </c>
      <c r="D121" s="0" t="str">
        <f aca="false">IF(Nodes!C122="","",","&amp;""""&amp;Nodes!C$1&amp;""""&amp;":"&amp;""""&amp;Nodes!C122&amp;""""&amp;"}")</f>
        <v/>
      </c>
    </row>
    <row r="122" customFormat="false" ht="15" hidden="false" customHeight="false" outlineLevel="0" collapsed="false">
      <c r="A122" s="0" t="str">
        <f aca="false">_xlfn.CONCAT(B122:D122)</f>
        <v/>
      </c>
      <c r="B122" s="0" t="str">
        <f aca="false">IF(ISBLANK(Nodes!A123),"","{"&amp;""""&amp;Nodes!A$1&amp;""""&amp;":"&amp;""""&amp;Nodes!A123&amp;"""")</f>
        <v/>
      </c>
      <c r="C122" s="0" t="str">
        <f aca="false">IF(ISBLANK(Nodes!B123),"",","&amp;""""&amp;Nodes!B$1&amp;""""&amp;":"&amp;""""&amp;TEXT(Nodes!B123,"yyyy-mm-dd")&amp;"""")</f>
        <v/>
      </c>
      <c r="D122" s="0" t="str">
        <f aca="false">IF(Nodes!C123="","",","&amp;""""&amp;Nodes!C$1&amp;""""&amp;":"&amp;""""&amp;Nodes!C123&amp;""""&amp;"}")</f>
        <v/>
      </c>
    </row>
    <row r="123" customFormat="false" ht="15" hidden="false" customHeight="false" outlineLevel="0" collapsed="false">
      <c r="A123" s="0" t="str">
        <f aca="false">_xlfn.CONCAT(B123:D123)</f>
        <v/>
      </c>
      <c r="B123" s="0" t="str">
        <f aca="false">IF(ISBLANK(Nodes!A124),"","{"&amp;""""&amp;Nodes!A$1&amp;""""&amp;":"&amp;""""&amp;Nodes!A124&amp;"""")</f>
        <v/>
      </c>
      <c r="C123" s="0" t="str">
        <f aca="false">IF(ISBLANK(Nodes!B124),"",","&amp;""""&amp;Nodes!B$1&amp;""""&amp;":"&amp;""""&amp;TEXT(Nodes!B124,"yyyy-mm-dd")&amp;"""")</f>
        <v/>
      </c>
      <c r="D123" s="0" t="str">
        <f aca="false">IF(Nodes!C124="","",","&amp;""""&amp;Nodes!C$1&amp;""""&amp;":"&amp;""""&amp;Nodes!C124&amp;""""&amp;"}")</f>
        <v/>
      </c>
    </row>
    <row r="124" customFormat="false" ht="15" hidden="false" customHeight="false" outlineLevel="0" collapsed="false">
      <c r="A124" s="0" t="str">
        <f aca="false">_xlfn.CONCAT(B124:D124)</f>
        <v/>
      </c>
      <c r="B124" s="0" t="str">
        <f aca="false">IF(ISBLANK(Nodes!A125),"","{"&amp;""""&amp;Nodes!A$1&amp;""""&amp;":"&amp;""""&amp;Nodes!A125&amp;"""")</f>
        <v/>
      </c>
      <c r="C124" s="0" t="str">
        <f aca="false">IF(ISBLANK(Nodes!B125),"",","&amp;""""&amp;Nodes!B$1&amp;""""&amp;":"&amp;""""&amp;TEXT(Nodes!B125,"yyyy-mm-dd")&amp;"""")</f>
        <v/>
      </c>
      <c r="D124" s="0" t="str">
        <f aca="false">IF(Nodes!C125="","",","&amp;""""&amp;Nodes!C$1&amp;""""&amp;":"&amp;""""&amp;Nodes!C125&amp;""""&amp;"}")</f>
        <v/>
      </c>
    </row>
    <row r="125" customFormat="false" ht="15" hidden="false" customHeight="false" outlineLevel="0" collapsed="false">
      <c r="A125" s="0" t="str">
        <f aca="false">_xlfn.CONCAT(B125:D125)</f>
        <v/>
      </c>
      <c r="B125" s="0" t="str">
        <f aca="false">IF(ISBLANK(Nodes!A126),"","{"&amp;""""&amp;Nodes!A$1&amp;""""&amp;":"&amp;""""&amp;Nodes!A126&amp;"""")</f>
        <v/>
      </c>
      <c r="C125" s="0" t="str">
        <f aca="false">IF(ISBLANK(Nodes!B126),"",","&amp;""""&amp;Nodes!B$1&amp;""""&amp;":"&amp;""""&amp;TEXT(Nodes!B126,"yyyy-mm-dd")&amp;"""")</f>
        <v/>
      </c>
      <c r="D125" s="0" t="str">
        <f aca="false">IF(Nodes!C126="","",","&amp;""""&amp;Nodes!C$1&amp;""""&amp;":"&amp;""""&amp;Nodes!C126&amp;""""&amp;"}")</f>
        <v/>
      </c>
    </row>
    <row r="126" customFormat="false" ht="15" hidden="false" customHeight="false" outlineLevel="0" collapsed="false">
      <c r="A126" s="0" t="str">
        <f aca="false">_xlfn.CONCAT(B126:D126)</f>
        <v/>
      </c>
      <c r="B126" s="0" t="str">
        <f aca="false">IF(ISBLANK(Nodes!A127),"","{"&amp;""""&amp;Nodes!A$1&amp;""""&amp;":"&amp;""""&amp;Nodes!A127&amp;"""")</f>
        <v/>
      </c>
      <c r="C126" s="0" t="str">
        <f aca="false">IF(ISBLANK(Nodes!B127),"",","&amp;""""&amp;Nodes!B$1&amp;""""&amp;":"&amp;""""&amp;TEXT(Nodes!B127,"yyyy-mm-dd")&amp;"""")</f>
        <v/>
      </c>
      <c r="D126" s="0" t="str">
        <f aca="false">IF(Nodes!C127="","",","&amp;""""&amp;Nodes!C$1&amp;""""&amp;":"&amp;""""&amp;Nodes!C127&amp;""""&amp;"}")</f>
        <v/>
      </c>
    </row>
    <row r="127" customFormat="false" ht="15" hidden="false" customHeight="false" outlineLevel="0" collapsed="false">
      <c r="A127" s="0" t="str">
        <f aca="false">_xlfn.CONCAT(B127:D127)</f>
        <v/>
      </c>
      <c r="B127" s="0" t="str">
        <f aca="false">IF(ISBLANK(Nodes!A128),"","{"&amp;""""&amp;Nodes!A$1&amp;""""&amp;":"&amp;""""&amp;Nodes!A128&amp;"""")</f>
        <v/>
      </c>
      <c r="C127" s="0" t="str">
        <f aca="false">IF(ISBLANK(Nodes!B128),"",","&amp;""""&amp;Nodes!B$1&amp;""""&amp;":"&amp;""""&amp;TEXT(Nodes!B128,"yyyy-mm-dd")&amp;"""")</f>
        <v/>
      </c>
      <c r="D127" s="0" t="str">
        <f aca="false">IF(Nodes!C128="","",","&amp;""""&amp;Nodes!C$1&amp;""""&amp;":"&amp;""""&amp;Nodes!C128&amp;""""&amp;"}")</f>
        <v/>
      </c>
    </row>
    <row r="128" customFormat="false" ht="15" hidden="false" customHeight="false" outlineLevel="0" collapsed="false">
      <c r="A128" s="0" t="str">
        <f aca="false">_xlfn.CONCAT(B128:D128)</f>
        <v/>
      </c>
      <c r="B128" s="0" t="str">
        <f aca="false">IF(ISBLANK(Nodes!A129),"","{"&amp;""""&amp;Nodes!A$1&amp;""""&amp;":"&amp;""""&amp;Nodes!A129&amp;"""")</f>
        <v/>
      </c>
      <c r="C128" s="0" t="str">
        <f aca="false">IF(ISBLANK(Nodes!B129),"",","&amp;""""&amp;Nodes!B$1&amp;""""&amp;":"&amp;""""&amp;TEXT(Nodes!B129,"yyyy-mm-dd")&amp;"""")</f>
        <v/>
      </c>
      <c r="D128" s="0" t="str">
        <f aca="false">IF(Nodes!C129="","",","&amp;""""&amp;Nodes!C$1&amp;""""&amp;":"&amp;""""&amp;Nodes!C129&amp;""""&amp;"}")</f>
        <v/>
      </c>
    </row>
    <row r="129" customFormat="false" ht="15" hidden="false" customHeight="false" outlineLevel="0" collapsed="false">
      <c r="A129" s="0" t="str">
        <f aca="false">_xlfn.CONCAT(B129:D129)</f>
        <v/>
      </c>
      <c r="B129" s="0" t="str">
        <f aca="false">IF(ISBLANK(Nodes!A130),"","{"&amp;""""&amp;Nodes!A$1&amp;""""&amp;":"&amp;""""&amp;Nodes!A130&amp;"""")</f>
        <v/>
      </c>
      <c r="C129" s="0" t="str">
        <f aca="false">IF(ISBLANK(Nodes!B130),"",","&amp;""""&amp;Nodes!B$1&amp;""""&amp;":"&amp;""""&amp;TEXT(Nodes!B130,"yyyy-mm-dd")&amp;"""")</f>
        <v/>
      </c>
      <c r="D129" s="0" t="str">
        <f aca="false">IF(Nodes!C130="","",","&amp;""""&amp;Nodes!C$1&amp;""""&amp;":"&amp;""""&amp;Nodes!C130&amp;""""&amp;"}")</f>
        <v/>
      </c>
    </row>
    <row r="130" customFormat="false" ht="15" hidden="false" customHeight="false" outlineLevel="0" collapsed="false">
      <c r="A130" s="0" t="str">
        <f aca="false">_xlfn.CONCAT(B130:D130)</f>
        <v/>
      </c>
      <c r="B130" s="0" t="str">
        <f aca="false">IF(ISBLANK(Nodes!A131),"","{"&amp;""""&amp;Nodes!A$1&amp;""""&amp;":"&amp;""""&amp;Nodes!A131&amp;"""")</f>
        <v/>
      </c>
      <c r="C130" s="0" t="str">
        <f aca="false">IF(ISBLANK(Nodes!B131),"",","&amp;""""&amp;Nodes!B$1&amp;""""&amp;":"&amp;""""&amp;TEXT(Nodes!B131,"yyyy-mm-dd")&amp;"""")</f>
        <v/>
      </c>
      <c r="D130" s="0" t="str">
        <f aca="false">IF(Nodes!C131="","",","&amp;""""&amp;Nodes!C$1&amp;""""&amp;":"&amp;""""&amp;Nodes!C131&amp;""""&amp;"}")</f>
        <v/>
      </c>
    </row>
    <row r="131" customFormat="false" ht="15" hidden="false" customHeight="false" outlineLevel="0" collapsed="false">
      <c r="A131" s="0" t="str">
        <f aca="false">_xlfn.CONCAT(B131:D131)</f>
        <v/>
      </c>
      <c r="B131" s="0" t="str">
        <f aca="false">IF(ISBLANK(Nodes!A132),"","{"&amp;""""&amp;Nodes!A$1&amp;""""&amp;":"&amp;""""&amp;Nodes!A132&amp;"""")</f>
        <v/>
      </c>
      <c r="C131" s="0" t="str">
        <f aca="false">IF(ISBLANK(Nodes!B132),"",","&amp;""""&amp;Nodes!B$1&amp;""""&amp;":"&amp;""""&amp;TEXT(Nodes!B132,"yyyy-mm-dd")&amp;"""")</f>
        <v/>
      </c>
      <c r="D131" s="0" t="str">
        <f aca="false">IF(Nodes!C132="","",","&amp;""""&amp;Nodes!C$1&amp;""""&amp;":"&amp;""""&amp;Nodes!C132&amp;""""&amp;"}")</f>
        <v/>
      </c>
    </row>
    <row r="132" customFormat="false" ht="15" hidden="false" customHeight="false" outlineLevel="0" collapsed="false">
      <c r="A132" s="0" t="str">
        <f aca="false">_xlfn.CONCAT(B132:D132)</f>
        <v/>
      </c>
      <c r="B132" s="0" t="str">
        <f aca="false">IF(ISBLANK(Nodes!A133),"","{"&amp;""""&amp;Nodes!A$1&amp;""""&amp;":"&amp;""""&amp;Nodes!A133&amp;"""")</f>
        <v/>
      </c>
      <c r="C132" s="0" t="str">
        <f aca="false">IF(ISBLANK(Nodes!B133),"",","&amp;""""&amp;Nodes!B$1&amp;""""&amp;":"&amp;""""&amp;TEXT(Nodes!B133,"yyyy-mm-dd")&amp;"""")</f>
        <v/>
      </c>
      <c r="D132" s="0" t="str">
        <f aca="false">IF(Nodes!C133="","",","&amp;""""&amp;Nodes!C$1&amp;""""&amp;":"&amp;""""&amp;Nodes!C133&amp;""""&amp;"}")</f>
        <v/>
      </c>
    </row>
    <row r="133" customFormat="false" ht="15" hidden="false" customHeight="false" outlineLevel="0" collapsed="false">
      <c r="A133" s="0" t="str">
        <f aca="false">_xlfn.CONCAT(B133:D133)</f>
        <v/>
      </c>
      <c r="B133" s="0" t="str">
        <f aca="false">IF(ISBLANK(Nodes!A134),"","{"&amp;""""&amp;Nodes!A$1&amp;""""&amp;":"&amp;""""&amp;Nodes!A134&amp;"""")</f>
        <v/>
      </c>
      <c r="C133" s="0" t="str">
        <f aca="false">IF(ISBLANK(Nodes!B134),"",","&amp;""""&amp;Nodes!B$1&amp;""""&amp;":"&amp;""""&amp;TEXT(Nodes!B134,"yyyy-mm-dd")&amp;"""")</f>
        <v/>
      </c>
      <c r="D133" s="0" t="str">
        <f aca="false">IF(Nodes!C134="","",","&amp;""""&amp;Nodes!C$1&amp;""""&amp;":"&amp;""""&amp;Nodes!C134&amp;""""&amp;"}")</f>
        <v/>
      </c>
    </row>
    <row r="134" customFormat="false" ht="15" hidden="false" customHeight="false" outlineLevel="0" collapsed="false">
      <c r="A134" s="0" t="str">
        <f aca="false">_xlfn.CONCAT(B134:D134)</f>
        <v/>
      </c>
      <c r="B134" s="0" t="str">
        <f aca="false">IF(ISBLANK(Nodes!A135),"","{"&amp;""""&amp;Nodes!A$1&amp;""""&amp;":"&amp;""""&amp;Nodes!A135&amp;"""")</f>
        <v/>
      </c>
      <c r="C134" s="0" t="str">
        <f aca="false">IF(ISBLANK(Nodes!B135),"",","&amp;""""&amp;Nodes!B$1&amp;""""&amp;":"&amp;""""&amp;TEXT(Nodes!B135,"yyyy-mm-dd")&amp;"""")</f>
        <v/>
      </c>
      <c r="D134" s="0" t="str">
        <f aca="false">IF(Nodes!C135="","",","&amp;""""&amp;Nodes!C$1&amp;""""&amp;":"&amp;""""&amp;Nodes!C135&amp;""""&amp;"}")</f>
        <v/>
      </c>
    </row>
    <row r="135" customFormat="false" ht="15" hidden="false" customHeight="false" outlineLevel="0" collapsed="false">
      <c r="A135" s="0" t="str">
        <f aca="false">_xlfn.CONCAT(B135:D135)</f>
        <v/>
      </c>
      <c r="B135" s="0" t="str">
        <f aca="false">IF(ISBLANK(Nodes!A136),"","{"&amp;""""&amp;Nodes!A$1&amp;""""&amp;":"&amp;""""&amp;Nodes!A136&amp;"""")</f>
        <v/>
      </c>
      <c r="C135" s="0" t="str">
        <f aca="false">IF(ISBLANK(Nodes!B136),"",","&amp;""""&amp;Nodes!B$1&amp;""""&amp;":"&amp;""""&amp;TEXT(Nodes!B136,"yyyy-mm-dd")&amp;"""")</f>
        <v/>
      </c>
      <c r="D135" s="0" t="str">
        <f aca="false">IF(Nodes!C136="","",","&amp;""""&amp;Nodes!C$1&amp;""""&amp;":"&amp;""""&amp;Nodes!C136&amp;""""&amp;"}")</f>
        <v/>
      </c>
    </row>
    <row r="136" customFormat="false" ht="15" hidden="false" customHeight="false" outlineLevel="0" collapsed="false">
      <c r="A136" s="0" t="str">
        <f aca="false">_xlfn.CONCAT(B136:D136)</f>
        <v/>
      </c>
      <c r="B136" s="0" t="str">
        <f aca="false">IF(ISBLANK(Nodes!A137),"","{"&amp;""""&amp;Nodes!A$1&amp;""""&amp;":"&amp;""""&amp;Nodes!A137&amp;"""")</f>
        <v/>
      </c>
      <c r="C136" s="0" t="str">
        <f aca="false">IF(ISBLANK(Nodes!B137),"",","&amp;""""&amp;Nodes!B$1&amp;""""&amp;":"&amp;""""&amp;TEXT(Nodes!B137,"yyyy-mm-dd")&amp;"""")</f>
        <v/>
      </c>
      <c r="D136" s="0" t="str">
        <f aca="false">IF(Nodes!C137="","",","&amp;""""&amp;Nodes!C$1&amp;""""&amp;":"&amp;""""&amp;Nodes!C137&amp;""""&amp;"}")</f>
        <v/>
      </c>
    </row>
    <row r="137" customFormat="false" ht="15" hidden="false" customHeight="false" outlineLevel="0" collapsed="false">
      <c r="A137" s="0" t="str">
        <f aca="false">_xlfn.CONCAT(B137:D137)</f>
        <v/>
      </c>
      <c r="B137" s="0" t="str">
        <f aca="false">IF(ISBLANK(Nodes!A138),"","{"&amp;""""&amp;Nodes!A$1&amp;""""&amp;":"&amp;""""&amp;Nodes!A138&amp;"""")</f>
        <v/>
      </c>
      <c r="C137" s="0" t="str">
        <f aca="false">IF(ISBLANK(Nodes!B138),"",","&amp;""""&amp;Nodes!B$1&amp;""""&amp;":"&amp;""""&amp;TEXT(Nodes!B138,"yyyy-mm-dd")&amp;"""")</f>
        <v/>
      </c>
      <c r="D137" s="0" t="str">
        <f aca="false">IF(Nodes!C138="","",","&amp;""""&amp;Nodes!C$1&amp;""""&amp;":"&amp;""""&amp;Nodes!C138&amp;""""&amp;"}")</f>
        <v/>
      </c>
    </row>
    <row r="138" customFormat="false" ht="15" hidden="false" customHeight="false" outlineLevel="0" collapsed="false">
      <c r="A138" s="0" t="str">
        <f aca="false">_xlfn.CONCAT(B138:D138)</f>
        <v/>
      </c>
      <c r="B138" s="0" t="str">
        <f aca="false">IF(ISBLANK(Nodes!A139),"","{"&amp;""""&amp;Nodes!A$1&amp;""""&amp;":"&amp;""""&amp;Nodes!A139&amp;"""")</f>
        <v/>
      </c>
      <c r="C138" s="0" t="str">
        <f aca="false">IF(ISBLANK(Nodes!B139),"",","&amp;""""&amp;Nodes!B$1&amp;""""&amp;":"&amp;""""&amp;TEXT(Nodes!B139,"yyyy-mm-dd")&amp;"""")</f>
        <v/>
      </c>
      <c r="D138" s="0" t="str">
        <f aca="false">IF(Nodes!C139="","",","&amp;""""&amp;Nodes!C$1&amp;""""&amp;":"&amp;""""&amp;Nodes!C139&amp;""""&amp;"}")</f>
        <v/>
      </c>
    </row>
    <row r="139" customFormat="false" ht="15" hidden="false" customHeight="false" outlineLevel="0" collapsed="false">
      <c r="A139" s="0" t="str">
        <f aca="false">_xlfn.CONCAT(B139:D139)</f>
        <v/>
      </c>
      <c r="B139" s="0" t="str">
        <f aca="false">IF(ISBLANK(Nodes!A140),"","{"&amp;""""&amp;Nodes!A$1&amp;""""&amp;":"&amp;""""&amp;Nodes!A140&amp;"""")</f>
        <v/>
      </c>
      <c r="C139" s="0" t="str">
        <f aca="false">IF(ISBLANK(Nodes!B140),"",","&amp;""""&amp;Nodes!B$1&amp;""""&amp;":"&amp;""""&amp;TEXT(Nodes!B140,"yyyy-mm-dd")&amp;"""")</f>
        <v/>
      </c>
      <c r="D139" s="0" t="str">
        <f aca="false">IF(Nodes!C140="","",","&amp;""""&amp;Nodes!C$1&amp;""""&amp;":"&amp;""""&amp;Nodes!C140&amp;""""&amp;"}")</f>
        <v/>
      </c>
    </row>
    <row r="140" customFormat="false" ht="15" hidden="false" customHeight="false" outlineLevel="0" collapsed="false">
      <c r="A140" s="0" t="str">
        <f aca="false">_xlfn.CONCAT(B140:D140)</f>
        <v/>
      </c>
      <c r="B140" s="0" t="str">
        <f aca="false">IF(ISBLANK(Nodes!A141),"","{"&amp;""""&amp;Nodes!A$1&amp;""""&amp;":"&amp;""""&amp;Nodes!A141&amp;"""")</f>
        <v/>
      </c>
      <c r="C140" s="0" t="str">
        <f aca="false">IF(ISBLANK(Nodes!B141),"",","&amp;""""&amp;Nodes!B$1&amp;""""&amp;":"&amp;""""&amp;TEXT(Nodes!B141,"yyyy-mm-dd")&amp;"""")</f>
        <v/>
      </c>
      <c r="D140" s="0" t="str">
        <f aca="false">IF(Nodes!C141="","",","&amp;""""&amp;Nodes!C$1&amp;""""&amp;":"&amp;""""&amp;Nodes!C141&amp;""""&amp;"}")</f>
        <v/>
      </c>
    </row>
    <row r="141" customFormat="false" ht="15" hidden="false" customHeight="false" outlineLevel="0" collapsed="false">
      <c r="A141" s="0" t="str">
        <f aca="false">_xlfn.CONCAT(B141:D141)</f>
        <v/>
      </c>
      <c r="B141" s="0" t="str">
        <f aca="false">IF(ISBLANK(Nodes!A142),"","{"&amp;""""&amp;Nodes!A$1&amp;""""&amp;":"&amp;""""&amp;Nodes!A142&amp;"""")</f>
        <v/>
      </c>
      <c r="C141" s="0" t="str">
        <f aca="false">IF(ISBLANK(Nodes!B142),"",","&amp;""""&amp;Nodes!B$1&amp;""""&amp;":"&amp;""""&amp;TEXT(Nodes!B142,"yyyy-mm-dd")&amp;"""")</f>
        <v/>
      </c>
      <c r="D141" s="0" t="str">
        <f aca="false">IF(Nodes!C142="","",","&amp;""""&amp;Nodes!C$1&amp;""""&amp;":"&amp;""""&amp;Nodes!C142&amp;""""&amp;"}")</f>
        <v/>
      </c>
    </row>
    <row r="142" customFormat="false" ht="15" hidden="false" customHeight="false" outlineLevel="0" collapsed="false">
      <c r="A142" s="0" t="str">
        <f aca="false">_xlfn.CONCAT(B142:D142)</f>
        <v/>
      </c>
      <c r="B142" s="0" t="str">
        <f aca="false">IF(ISBLANK(Nodes!A143),"","{"&amp;""""&amp;Nodes!A$1&amp;""""&amp;":"&amp;""""&amp;Nodes!A143&amp;"""")</f>
        <v/>
      </c>
      <c r="C142" s="0" t="str">
        <f aca="false">IF(ISBLANK(Nodes!B143),"",","&amp;""""&amp;Nodes!B$1&amp;""""&amp;":"&amp;""""&amp;TEXT(Nodes!B143,"yyyy-mm-dd")&amp;"""")</f>
        <v/>
      </c>
      <c r="D142" s="0" t="str">
        <f aca="false">IF(Nodes!C143="","",","&amp;""""&amp;Nodes!C$1&amp;""""&amp;":"&amp;""""&amp;Nodes!C143&amp;""""&amp;"}")</f>
        <v/>
      </c>
    </row>
    <row r="143" customFormat="false" ht="15" hidden="false" customHeight="false" outlineLevel="0" collapsed="false">
      <c r="A143" s="0" t="str">
        <f aca="false">_xlfn.CONCAT(B143:D143)</f>
        <v/>
      </c>
      <c r="B143" s="0" t="str">
        <f aca="false">IF(ISBLANK(Nodes!A144),"","{"&amp;""""&amp;Nodes!A$1&amp;""""&amp;":"&amp;""""&amp;Nodes!A144&amp;"""")</f>
        <v/>
      </c>
      <c r="C143" s="0" t="str">
        <f aca="false">IF(ISBLANK(Nodes!B144),"",","&amp;""""&amp;Nodes!B$1&amp;""""&amp;":"&amp;""""&amp;TEXT(Nodes!B144,"yyyy-mm-dd")&amp;"""")</f>
        <v/>
      </c>
      <c r="D143" s="0" t="str">
        <f aca="false">IF(Nodes!C144="","",","&amp;""""&amp;Nodes!C$1&amp;""""&amp;":"&amp;""""&amp;Nodes!C144&amp;""""&amp;"}")</f>
        <v/>
      </c>
    </row>
    <row r="144" customFormat="false" ht="15" hidden="false" customHeight="false" outlineLevel="0" collapsed="false">
      <c r="A144" s="0" t="str">
        <f aca="false">_xlfn.CONCAT(B144:D144)</f>
        <v/>
      </c>
      <c r="B144" s="0" t="str">
        <f aca="false">IF(ISBLANK(Nodes!A145),"","{"&amp;""""&amp;Nodes!A$1&amp;""""&amp;":"&amp;""""&amp;Nodes!A145&amp;"""")</f>
        <v/>
      </c>
      <c r="C144" s="0" t="str">
        <f aca="false">IF(ISBLANK(Nodes!B145),"",","&amp;""""&amp;Nodes!B$1&amp;""""&amp;":"&amp;""""&amp;TEXT(Nodes!B145,"yyyy-mm-dd")&amp;"""")</f>
        <v/>
      </c>
      <c r="D144" s="0" t="str">
        <f aca="false">IF(Nodes!C145="","",","&amp;""""&amp;Nodes!C$1&amp;""""&amp;":"&amp;""""&amp;Nodes!C145&amp;""""&amp;"}")</f>
        <v/>
      </c>
    </row>
    <row r="145" customFormat="false" ht="15" hidden="false" customHeight="false" outlineLevel="0" collapsed="false">
      <c r="A145" s="0" t="str">
        <f aca="false">_xlfn.CONCAT(B145:D145)</f>
        <v/>
      </c>
      <c r="B145" s="0" t="str">
        <f aca="false">IF(ISBLANK(Nodes!A146),"","{"&amp;""""&amp;Nodes!A$1&amp;""""&amp;":"&amp;""""&amp;Nodes!A146&amp;"""")</f>
        <v/>
      </c>
      <c r="C145" s="0" t="str">
        <f aca="false">IF(ISBLANK(Nodes!B146),"",","&amp;""""&amp;Nodes!B$1&amp;""""&amp;":"&amp;""""&amp;TEXT(Nodes!B146,"yyyy-mm-dd")&amp;"""")</f>
        <v/>
      </c>
      <c r="D145" s="0" t="str">
        <f aca="false">IF(Nodes!C146="","",","&amp;""""&amp;Nodes!C$1&amp;""""&amp;":"&amp;""""&amp;Nodes!C146&amp;""""&amp;"}")</f>
        <v/>
      </c>
    </row>
    <row r="146" customFormat="false" ht="15" hidden="false" customHeight="false" outlineLevel="0" collapsed="false">
      <c r="A146" s="0" t="str">
        <f aca="false">_xlfn.CONCAT(B146:D146)</f>
        <v/>
      </c>
      <c r="B146" s="0" t="str">
        <f aca="false">IF(ISBLANK(Nodes!A147),"","{"&amp;""""&amp;Nodes!A$1&amp;""""&amp;":"&amp;""""&amp;Nodes!A147&amp;"""")</f>
        <v/>
      </c>
      <c r="C146" s="0" t="str">
        <f aca="false">IF(ISBLANK(Nodes!B147),"",","&amp;""""&amp;Nodes!B$1&amp;""""&amp;":"&amp;""""&amp;TEXT(Nodes!B147,"yyyy-mm-dd")&amp;"""")</f>
        <v/>
      </c>
      <c r="D146" s="0" t="str">
        <f aca="false">IF(Nodes!C147="","",","&amp;""""&amp;Nodes!C$1&amp;""""&amp;":"&amp;""""&amp;Nodes!C147&amp;""""&amp;"}")</f>
        <v/>
      </c>
    </row>
    <row r="147" customFormat="false" ht="15" hidden="false" customHeight="false" outlineLevel="0" collapsed="false">
      <c r="A147" s="0" t="str">
        <f aca="false">_xlfn.CONCAT(B147:D147)</f>
        <v/>
      </c>
      <c r="B147" s="0" t="str">
        <f aca="false">IF(ISBLANK(Nodes!A148),"","{"&amp;""""&amp;Nodes!A$1&amp;""""&amp;":"&amp;""""&amp;Nodes!A148&amp;"""")</f>
        <v/>
      </c>
      <c r="C147" s="0" t="str">
        <f aca="false">IF(ISBLANK(Nodes!B148),"",","&amp;""""&amp;Nodes!B$1&amp;""""&amp;":"&amp;""""&amp;TEXT(Nodes!B148,"yyyy-mm-dd")&amp;"""")</f>
        <v/>
      </c>
      <c r="D147" s="0" t="str">
        <f aca="false">IF(Nodes!C148="","",","&amp;""""&amp;Nodes!C$1&amp;""""&amp;":"&amp;""""&amp;Nodes!C148&amp;""""&amp;"}")</f>
        <v/>
      </c>
    </row>
    <row r="148" customFormat="false" ht="15" hidden="false" customHeight="false" outlineLevel="0" collapsed="false">
      <c r="A148" s="0" t="str">
        <f aca="false">_xlfn.CONCAT(B148:D148)</f>
        <v/>
      </c>
      <c r="B148" s="0" t="str">
        <f aca="false">IF(ISBLANK(Nodes!A149),"","{"&amp;""""&amp;Nodes!A$1&amp;""""&amp;":"&amp;""""&amp;Nodes!A149&amp;"""")</f>
        <v/>
      </c>
      <c r="C148" s="0" t="str">
        <f aca="false">IF(ISBLANK(Nodes!B149),"",","&amp;""""&amp;Nodes!B$1&amp;""""&amp;":"&amp;""""&amp;TEXT(Nodes!B149,"yyyy-mm-dd")&amp;"""")</f>
        <v/>
      </c>
      <c r="D148" s="0" t="str">
        <f aca="false">IF(Nodes!C149="","",","&amp;""""&amp;Nodes!C$1&amp;""""&amp;":"&amp;""""&amp;Nodes!C149&amp;""""&amp;"}")</f>
        <v/>
      </c>
    </row>
    <row r="149" customFormat="false" ht="15" hidden="false" customHeight="false" outlineLevel="0" collapsed="false">
      <c r="A149" s="0" t="str">
        <f aca="false">_xlfn.CONCAT(B149:D149)</f>
        <v/>
      </c>
      <c r="B149" s="0" t="str">
        <f aca="false">IF(ISBLANK(Nodes!A150),"","{"&amp;""""&amp;Nodes!A$1&amp;""""&amp;":"&amp;""""&amp;Nodes!A150&amp;"""")</f>
        <v/>
      </c>
      <c r="C149" s="0" t="str">
        <f aca="false">IF(ISBLANK(Nodes!B150),"",","&amp;""""&amp;Nodes!B$1&amp;""""&amp;":"&amp;""""&amp;TEXT(Nodes!B150,"yyyy-mm-dd")&amp;"""")</f>
        <v/>
      </c>
      <c r="D149" s="0" t="str">
        <f aca="false">IF(Nodes!C150="","",","&amp;""""&amp;Nodes!C$1&amp;""""&amp;":"&amp;""""&amp;Nodes!C150&amp;""""&amp;"}")</f>
        <v/>
      </c>
    </row>
    <row r="150" customFormat="false" ht="15" hidden="false" customHeight="false" outlineLevel="0" collapsed="false">
      <c r="A150" s="0" t="str">
        <f aca="false">_xlfn.CONCAT(B150:D150)</f>
        <v/>
      </c>
      <c r="B150" s="0" t="str">
        <f aca="false">IF(ISBLANK(Nodes!A151),"","{"&amp;""""&amp;Nodes!A$1&amp;""""&amp;":"&amp;""""&amp;Nodes!A151&amp;"""")</f>
        <v/>
      </c>
      <c r="C150" s="0" t="str">
        <f aca="false">IF(ISBLANK(Nodes!B151),"",","&amp;""""&amp;Nodes!B$1&amp;""""&amp;":"&amp;""""&amp;TEXT(Nodes!B151,"yyyy-mm-dd")&amp;"""")</f>
        <v/>
      </c>
      <c r="D150" s="0" t="str">
        <f aca="false">IF(Nodes!C151="","",","&amp;""""&amp;Nodes!C$1&amp;""""&amp;":"&amp;""""&amp;Nodes!C151&amp;""""&amp;"}")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20" activeCellId="0" sqref="A20"/>
    </sheetView>
  </sheetViews>
  <sheetFormatPr defaultColWidth="8.3984375" defaultRowHeight="15" zeroHeight="false" outlineLevelRow="0" outlineLevelCol="0"/>
  <cols>
    <col collapsed="false" customWidth="true" hidden="false" outlineLevel="0" max="1" min="1" style="0" width="15.15"/>
    <col collapsed="false" customWidth="true" hidden="false" outlineLevel="0" max="5" min="5" style="0" width="13.57"/>
    <col collapsed="false" customWidth="true" hidden="false" outlineLevel="0" max="7" min="6" style="0" width="10.43"/>
  </cols>
  <sheetData>
    <row r="1" customFormat="false" ht="15" hidden="false" customHeight="false" outlineLevel="0" collapsed="false">
      <c r="A1" s="2" t="s">
        <v>11</v>
      </c>
      <c r="B1" s="2"/>
    </row>
    <row r="2" customFormat="false" ht="15" hidden="false" customHeight="false" outlineLevel="0" collapsed="false">
      <c r="A2" s="3" t="s">
        <v>12</v>
      </c>
      <c r="B2" s="3" t="s">
        <v>13</v>
      </c>
      <c r="C2" s="3" t="s">
        <v>14</v>
      </c>
      <c r="D2" s="4"/>
      <c r="E2" s="4"/>
      <c r="F2" s="4"/>
      <c r="G2" s="3" t="s">
        <v>15</v>
      </c>
      <c r="J2" s="0" t="e">
        <f aca="false" t="array" ref="J2:J2">_xlfn._xlws.FILTER(C4:G36,OR(C4:C36="sofr",C4:C36="estr"))</f>
        <v>#NAME?</v>
      </c>
    </row>
    <row r="3" customFormat="false" ht="15" hidden="false" customHeight="false" outlineLevel="0" collapsed="false">
      <c r="A3" s="0" t="s">
        <v>16</v>
      </c>
      <c r="E3" s="1" t="e">
        <f aca="false" t="array" ref="E3:E3">MAX(_xlfn._xlws.FILTER(Bloomberg_load!$H$2:$H$76,LEFT(Bloomberg_load!$C$2:$C$76,3)="FED"))</f>
        <v>#NAME?</v>
      </c>
      <c r="F3" s="1"/>
    </row>
    <row r="4" customFormat="false" ht="15" hidden="false" customHeight="false" outlineLevel="0" collapsed="false">
      <c r="A4" s="0" t="s">
        <v>17</v>
      </c>
      <c r="C4" s="0" t="s">
        <v>18</v>
      </c>
      <c r="F4" s="1"/>
      <c r="G4" s="1" t="n">
        <f aca="true">TODAY()</f>
        <v>45782</v>
      </c>
    </row>
    <row r="5" customFormat="false" ht="15" hidden="false" customHeight="false" outlineLevel="0" collapsed="false">
      <c r="A5" s="0" t="e">
        <f aca="false" t="array" ref="A5:G17">_xlfn.vstack(_xlfn._xlws.FILTER(Bloomberg_load!B18:H25,LEFT(Bloomberg_load!H18:H25,1)&lt;&gt;"#"),_xlfn._xlws.FILTER(Bloomberg_load!B2:H17,Bloomberg_load!H2:H17&gt;'Node Calculation'!E3))</f>
        <v>#NAME?</v>
      </c>
      <c r="B5" s="0" t="e">
        <v>#NAME?</v>
      </c>
      <c r="C5" s="0" t="e">
        <v>#NAME?</v>
      </c>
      <c r="D5" s="0" t="e">
        <v>#NAME?</v>
      </c>
      <c r="E5" s="0" t="e">
        <v>#NAME?</v>
      </c>
      <c r="F5" s="1" t="e">
        <v>#NAME?</v>
      </c>
      <c r="G5" s="1" t="e">
        <v>#NAME?</v>
      </c>
    </row>
    <row r="6" customFormat="false" ht="15" hidden="false" customHeight="false" outlineLevel="0" collapsed="false">
      <c r="A6" s="0" t="e">
        <v>#NAME?</v>
      </c>
      <c r="B6" s="0" t="e">
        <v>#NAME?</v>
      </c>
      <c r="C6" s="0" t="e">
        <v>#NAME?</v>
      </c>
      <c r="D6" s="0" t="e">
        <v>#NAME?</v>
      </c>
      <c r="E6" s="0" t="e">
        <v>#NAME?</v>
      </c>
      <c r="F6" s="1" t="e">
        <v>#NAME?</v>
      </c>
      <c r="G6" s="1" t="e">
        <v>#NAME?</v>
      </c>
    </row>
    <row r="7" customFormat="false" ht="15" hidden="false" customHeight="false" outlineLevel="0" collapsed="false">
      <c r="A7" s="0" t="e">
        <v>#NAME?</v>
      </c>
      <c r="B7" s="0" t="e">
        <v>#NAME?</v>
      </c>
      <c r="C7" s="0" t="e">
        <v>#NAME?</v>
      </c>
      <c r="D7" s="0" t="e">
        <v>#NAME?</v>
      </c>
      <c r="E7" s="0" t="e">
        <v>#NAME?</v>
      </c>
      <c r="F7" s="1" t="e">
        <v>#NAME?</v>
      </c>
      <c r="G7" s="1" t="e">
        <v>#NAME?</v>
      </c>
    </row>
    <row r="8" customFormat="false" ht="15" hidden="false" customHeight="false" outlineLevel="0" collapsed="false">
      <c r="A8" s="0" t="e">
        <v>#NAME?</v>
      </c>
      <c r="B8" s="0" t="e">
        <v>#NAME?</v>
      </c>
      <c r="C8" s="0" t="e">
        <v>#NAME?</v>
      </c>
      <c r="D8" s="0" t="e">
        <v>#NAME?</v>
      </c>
      <c r="E8" s="0" t="e">
        <v>#NAME?</v>
      </c>
      <c r="F8" s="1" t="e">
        <v>#NAME?</v>
      </c>
      <c r="G8" s="1" t="e">
        <v>#NAME?</v>
      </c>
    </row>
    <row r="9" customFormat="false" ht="15" hidden="false" customHeight="false" outlineLevel="0" collapsed="false">
      <c r="A9" s="0" t="e">
        <v>#NAME?</v>
      </c>
      <c r="B9" s="0" t="e">
        <v>#NAME?</v>
      </c>
      <c r="C9" s="0" t="e">
        <v>#NAME?</v>
      </c>
      <c r="D9" s="0" t="e">
        <v>#NAME?</v>
      </c>
      <c r="E9" s="0" t="e">
        <v>#NAME?</v>
      </c>
      <c r="F9" s="1" t="e">
        <v>#NAME?</v>
      </c>
      <c r="G9" s="1" t="e">
        <v>#NAME?</v>
      </c>
    </row>
    <row r="10" customFormat="false" ht="15" hidden="false" customHeight="false" outlineLevel="0" collapsed="false">
      <c r="A10" s="0" t="e">
        <v>#NAME?</v>
      </c>
      <c r="B10" s="0" t="e">
        <v>#NAME?</v>
      </c>
      <c r="C10" s="0" t="e">
        <v>#NAME?</v>
      </c>
      <c r="D10" s="0" t="e">
        <v>#NAME?</v>
      </c>
      <c r="E10" s="0" t="e">
        <v>#NAME?</v>
      </c>
      <c r="F10" s="1" t="e">
        <v>#NAME?</v>
      </c>
      <c r="G10" s="1" t="e">
        <v>#NAME?</v>
      </c>
    </row>
    <row r="11" customFormat="false" ht="15" hidden="false" customHeight="false" outlineLevel="0" collapsed="false">
      <c r="A11" s="0" t="e">
        <v>#NAME?</v>
      </c>
      <c r="B11" s="0" t="e">
        <v>#NAME?</v>
      </c>
      <c r="C11" s="0" t="e">
        <v>#NAME?</v>
      </c>
      <c r="D11" s="0" t="e">
        <v>#NAME?</v>
      </c>
      <c r="E11" s="0" t="e">
        <v>#NAME?</v>
      </c>
      <c r="F11" s="1" t="e">
        <v>#NAME?</v>
      </c>
      <c r="G11" s="1" t="e">
        <v>#NAME?</v>
      </c>
    </row>
    <row r="12" customFormat="false" ht="15" hidden="false" customHeight="false" outlineLevel="0" collapsed="false">
      <c r="A12" s="0" t="e">
        <v>#NAME?</v>
      </c>
      <c r="B12" s="0" t="e">
        <v>#NAME?</v>
      </c>
      <c r="C12" s="0" t="e">
        <v>#NAME?</v>
      </c>
      <c r="D12" s="0" t="e">
        <v>#NAME?</v>
      </c>
      <c r="E12" s="0" t="e">
        <v>#NAME?</v>
      </c>
      <c r="F12" s="1" t="e">
        <v>#NAME?</v>
      </c>
      <c r="G12" s="1" t="e">
        <v>#NAME?</v>
      </c>
    </row>
    <row r="13" customFormat="false" ht="15" hidden="false" customHeight="false" outlineLevel="0" collapsed="false">
      <c r="A13" s="0" t="e">
        <v>#NAME?</v>
      </c>
      <c r="B13" s="0" t="e">
        <v>#NAME?</v>
      </c>
      <c r="C13" s="0" t="e">
        <v>#NAME?</v>
      </c>
      <c r="D13" s="0" t="e">
        <v>#NAME?</v>
      </c>
      <c r="E13" s="0" t="e">
        <v>#NAME?</v>
      </c>
      <c r="F13" s="1" t="e">
        <v>#NAME?</v>
      </c>
      <c r="G13" s="1" t="e">
        <v>#NAME?</v>
      </c>
    </row>
    <row r="14" customFormat="false" ht="15" hidden="false" customHeight="false" outlineLevel="0" collapsed="false">
      <c r="A14" s="0" t="e">
        <v>#NAME?</v>
      </c>
      <c r="B14" s="0" t="e">
        <v>#NAME?</v>
      </c>
      <c r="C14" s="0" t="e">
        <v>#NAME?</v>
      </c>
      <c r="D14" s="0" t="e">
        <v>#NAME?</v>
      </c>
      <c r="E14" s="0" t="e">
        <v>#NAME?</v>
      </c>
      <c r="F14" s="1" t="e">
        <v>#NAME?</v>
      </c>
      <c r="G14" s="1" t="e">
        <v>#NAME?</v>
      </c>
    </row>
    <row r="15" customFormat="false" ht="15" hidden="false" customHeight="false" outlineLevel="0" collapsed="false">
      <c r="A15" s="0" t="e">
        <v>#NAME?</v>
      </c>
      <c r="B15" s="0" t="e">
        <v>#NAME?</v>
      </c>
      <c r="C15" s="0" t="e">
        <v>#NAME?</v>
      </c>
      <c r="D15" s="0" t="e">
        <v>#NAME?</v>
      </c>
      <c r="E15" s="0" t="e">
        <v>#NAME?</v>
      </c>
      <c r="F15" s="1" t="e">
        <v>#NAME?</v>
      </c>
      <c r="G15" s="1" t="e">
        <v>#NAME?</v>
      </c>
    </row>
    <row r="16" customFormat="false" ht="15" hidden="false" customHeight="false" outlineLevel="0" collapsed="false">
      <c r="A16" s="0" t="e">
        <v>#NAME?</v>
      </c>
      <c r="B16" s="0" t="e">
        <v>#NAME?</v>
      </c>
      <c r="C16" s="0" t="e">
        <v>#NAME?</v>
      </c>
      <c r="D16" s="0" t="e">
        <v>#NAME?</v>
      </c>
      <c r="E16" s="0" t="e">
        <v>#NAME?</v>
      </c>
      <c r="F16" s="1" t="e">
        <v>#NAME?</v>
      </c>
      <c r="G16" s="1" t="e">
        <v>#NAME?</v>
      </c>
    </row>
    <row r="17" customFormat="false" ht="15" hidden="false" customHeight="false" outlineLevel="0" collapsed="false">
      <c r="A17" s="0" t="e">
        <v>#NAME?</v>
      </c>
      <c r="B17" s="0" t="e">
        <v>#NAME?</v>
      </c>
      <c r="C17" s="0" t="e">
        <v>#NAME?</v>
      </c>
      <c r="D17" s="0" t="e">
        <v>#NAME?</v>
      </c>
      <c r="E17" s="0" t="e">
        <v>#NAME?</v>
      </c>
      <c r="F17" s="1" t="e">
        <v>#NAME?</v>
      </c>
      <c r="G17" s="1" t="e">
        <v>#NAME?</v>
      </c>
    </row>
    <row r="21" customFormat="false" ht="15" hidden="false" customHeight="false" outlineLevel="0" collapsed="false">
      <c r="A21" s="2" t="s">
        <v>19</v>
      </c>
      <c r="B21" s="2"/>
    </row>
    <row r="22" customFormat="false" ht="15" hidden="false" customHeight="false" outlineLevel="0" collapsed="false">
      <c r="A22" s="3" t="s">
        <v>12</v>
      </c>
      <c r="B22" s="3" t="s">
        <v>13</v>
      </c>
      <c r="C22" s="3" t="s">
        <v>14</v>
      </c>
      <c r="D22" s="4"/>
      <c r="E22" s="4"/>
      <c r="F22" s="4"/>
      <c r="G22" s="3" t="s">
        <v>15</v>
      </c>
    </row>
    <row r="23" customFormat="false" ht="15" hidden="false" customHeight="false" outlineLevel="0" collapsed="false">
      <c r="A23" s="0" t="s">
        <v>16</v>
      </c>
      <c r="E23" s="1" t="e">
        <f aca="false" t="array" ref="E23:E23">MAX(_xlfn._xlws.FILTER(Bloomberg_load!$H$2:$H$76,LEFT(Bloomberg_load!$C$2:$C$76,3)="ECB"))</f>
        <v>#NAME?</v>
      </c>
    </row>
    <row r="24" customFormat="false" ht="15" hidden="false" customHeight="false" outlineLevel="0" collapsed="false">
      <c r="A24" s="0" t="s">
        <v>17</v>
      </c>
      <c r="C24" s="0" t="s">
        <v>20</v>
      </c>
      <c r="F24" s="1"/>
      <c r="G24" s="1" t="n">
        <f aca="true">TODAY()</f>
        <v>45782</v>
      </c>
    </row>
    <row r="25" customFormat="false" ht="15" hidden="false" customHeight="false" outlineLevel="0" collapsed="false">
      <c r="A25" s="0" t="e">
        <f aca="false" t="array" ref="A25:G36">_xlfn.vstack(_xlfn._xlws.FILTER(Bloomberg_load!B43:H50,LEFT(Bloomberg_load!H43:H50,1)&lt;&gt;"#"),_xlfn._xlws.FILTER(Bloomberg_load!B26:H41,Bloomberg_load!H26:H41&gt;'Node Calculation'!E23))</f>
        <v>#NAME?</v>
      </c>
      <c r="B25" s="0" t="e">
        <v>#NAME?</v>
      </c>
      <c r="C25" s="0" t="e">
        <v>#NAME?</v>
      </c>
      <c r="D25" s="0" t="e">
        <v>#NAME?</v>
      </c>
      <c r="E25" s="0" t="e">
        <v>#NAME?</v>
      </c>
      <c r="F25" s="1" t="e">
        <v>#NAME?</v>
      </c>
      <c r="G25" s="1" t="e">
        <v>#NAME?</v>
      </c>
    </row>
    <row r="26" customFormat="false" ht="15" hidden="false" customHeight="false" outlineLevel="0" collapsed="false">
      <c r="A26" s="0" t="e">
        <v>#NAME?</v>
      </c>
      <c r="B26" s="0" t="e">
        <v>#NAME?</v>
      </c>
      <c r="C26" s="0" t="e">
        <v>#NAME?</v>
      </c>
      <c r="D26" s="0" t="e">
        <v>#NAME?</v>
      </c>
      <c r="E26" s="0" t="e">
        <v>#NAME?</v>
      </c>
      <c r="F26" s="1" t="e">
        <v>#NAME?</v>
      </c>
      <c r="G26" s="1" t="e">
        <v>#NAME?</v>
      </c>
    </row>
    <row r="27" customFormat="false" ht="15" hidden="false" customHeight="false" outlineLevel="0" collapsed="false">
      <c r="A27" s="0" t="e">
        <v>#NAME?</v>
      </c>
      <c r="B27" s="0" t="e">
        <v>#NAME?</v>
      </c>
      <c r="C27" s="0" t="e">
        <v>#NAME?</v>
      </c>
      <c r="D27" s="0" t="e">
        <v>#NAME?</v>
      </c>
      <c r="E27" s="0" t="e">
        <v>#NAME?</v>
      </c>
      <c r="F27" s="1" t="e">
        <v>#NAME?</v>
      </c>
      <c r="G27" s="1" t="e">
        <v>#NAME?</v>
      </c>
    </row>
    <row r="28" customFormat="false" ht="15" hidden="false" customHeight="false" outlineLevel="0" collapsed="false">
      <c r="A28" s="0" t="e">
        <v>#NAME?</v>
      </c>
      <c r="B28" s="0" t="e">
        <v>#NAME?</v>
      </c>
      <c r="C28" s="0" t="e">
        <v>#NAME?</v>
      </c>
      <c r="D28" s="0" t="e">
        <v>#NAME?</v>
      </c>
      <c r="E28" s="0" t="e">
        <v>#NAME?</v>
      </c>
      <c r="F28" s="1" t="e">
        <v>#NAME?</v>
      </c>
      <c r="G28" s="1" t="e">
        <v>#NAME?</v>
      </c>
    </row>
    <row r="29" customFormat="false" ht="15" hidden="false" customHeight="false" outlineLevel="0" collapsed="false">
      <c r="A29" s="0" t="e">
        <v>#NAME?</v>
      </c>
      <c r="B29" s="0" t="e">
        <v>#NAME?</v>
      </c>
      <c r="C29" s="0" t="e">
        <v>#NAME?</v>
      </c>
      <c r="D29" s="0" t="e">
        <v>#NAME?</v>
      </c>
      <c r="E29" s="0" t="e">
        <v>#NAME?</v>
      </c>
      <c r="F29" s="1" t="e">
        <v>#NAME?</v>
      </c>
      <c r="G29" s="1" t="e">
        <v>#NAME?</v>
      </c>
    </row>
    <row r="30" customFormat="false" ht="15" hidden="false" customHeight="false" outlineLevel="0" collapsed="false">
      <c r="A30" s="0" t="e">
        <v>#NAME?</v>
      </c>
      <c r="B30" s="0" t="e">
        <v>#NAME?</v>
      </c>
      <c r="C30" s="0" t="e">
        <v>#NAME?</v>
      </c>
      <c r="D30" s="0" t="e">
        <v>#NAME?</v>
      </c>
      <c r="E30" s="0" t="e">
        <v>#NAME?</v>
      </c>
      <c r="F30" s="1" t="e">
        <v>#NAME?</v>
      </c>
      <c r="G30" s="1" t="e">
        <v>#NAME?</v>
      </c>
    </row>
    <row r="31" customFormat="false" ht="15" hidden="false" customHeight="false" outlineLevel="0" collapsed="false">
      <c r="A31" s="0" t="e">
        <v>#NAME?</v>
      </c>
      <c r="B31" s="0" t="e">
        <v>#NAME?</v>
      </c>
      <c r="C31" s="0" t="e">
        <v>#NAME?</v>
      </c>
      <c r="D31" s="0" t="e">
        <v>#NAME?</v>
      </c>
      <c r="E31" s="0" t="e">
        <v>#NAME?</v>
      </c>
      <c r="F31" s="1" t="e">
        <v>#NAME?</v>
      </c>
      <c r="G31" s="1" t="e">
        <v>#NAME?</v>
      </c>
    </row>
    <row r="32" customFormat="false" ht="15" hidden="false" customHeight="false" outlineLevel="0" collapsed="false">
      <c r="A32" s="0" t="e">
        <v>#NAME?</v>
      </c>
      <c r="B32" s="0" t="e">
        <v>#NAME?</v>
      </c>
      <c r="C32" s="0" t="e">
        <v>#NAME?</v>
      </c>
      <c r="D32" s="0" t="e">
        <v>#NAME?</v>
      </c>
      <c r="E32" s="0" t="e">
        <v>#NAME?</v>
      </c>
      <c r="F32" s="1" t="e">
        <v>#NAME?</v>
      </c>
      <c r="G32" s="1" t="e">
        <v>#NAME?</v>
      </c>
    </row>
    <row r="33" customFormat="false" ht="15" hidden="false" customHeight="false" outlineLevel="0" collapsed="false">
      <c r="A33" s="0" t="e">
        <v>#NAME?</v>
      </c>
      <c r="B33" s="0" t="e">
        <v>#NAME?</v>
      </c>
      <c r="C33" s="0" t="e">
        <v>#NAME?</v>
      </c>
      <c r="D33" s="0" t="e">
        <v>#NAME?</v>
      </c>
      <c r="E33" s="0" t="e">
        <v>#NAME?</v>
      </c>
      <c r="F33" s="1" t="e">
        <v>#NAME?</v>
      </c>
      <c r="G33" s="1" t="e">
        <v>#NAME?</v>
      </c>
    </row>
    <row r="34" customFormat="false" ht="15" hidden="false" customHeight="false" outlineLevel="0" collapsed="false">
      <c r="A34" s="0" t="e">
        <v>#NAME?</v>
      </c>
      <c r="B34" s="0" t="e">
        <v>#NAME?</v>
      </c>
      <c r="C34" s="0" t="e">
        <v>#NAME?</v>
      </c>
      <c r="D34" s="0" t="e">
        <v>#NAME?</v>
      </c>
      <c r="E34" s="0" t="e">
        <v>#NAME?</v>
      </c>
      <c r="F34" s="1" t="e">
        <v>#NAME?</v>
      </c>
      <c r="G34" s="1" t="e">
        <v>#NAME?</v>
      </c>
    </row>
    <row r="35" customFormat="false" ht="15" hidden="false" customHeight="false" outlineLevel="0" collapsed="false">
      <c r="A35" s="0" t="e">
        <v>#NAME?</v>
      </c>
      <c r="B35" s="0" t="e">
        <v>#NAME?</v>
      </c>
      <c r="C35" s="0" t="e">
        <v>#NAME?</v>
      </c>
      <c r="D35" s="0" t="e">
        <v>#NAME?</v>
      </c>
      <c r="E35" s="0" t="e">
        <v>#NAME?</v>
      </c>
      <c r="F35" s="1" t="e">
        <v>#NAME?</v>
      </c>
      <c r="G35" s="1" t="e">
        <v>#NAME?</v>
      </c>
    </row>
    <row r="36" customFormat="false" ht="15" hidden="false" customHeight="false" outlineLevel="0" collapsed="false">
      <c r="A36" s="0" t="e">
        <v>#NAME?</v>
      </c>
      <c r="B36" s="0" t="e">
        <v>#NAME?</v>
      </c>
      <c r="C36" s="0" t="e">
        <v>#NAME?</v>
      </c>
      <c r="D36" s="0" t="e">
        <v>#NAME?</v>
      </c>
      <c r="E36" s="0" t="e">
        <v>#NAME?</v>
      </c>
      <c r="F36" s="1" t="e">
        <v>#NAME?</v>
      </c>
      <c r="G36" s="1" t="e">
        <v>#NAME?</v>
      </c>
    </row>
    <row r="37" customFormat="false" ht="15" hidden="false" customHeight="false" outlineLevel="0" collapsed="false">
      <c r="F37" s="1"/>
      <c r="G3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6" activeCellId="0" sqref="M6"/>
    </sheetView>
  </sheetViews>
  <sheetFormatPr defaultColWidth="8.3984375" defaultRowHeight="15" zeroHeight="false" outlineLevelRow="0" outlineLevelCol="0"/>
  <cols>
    <col collapsed="false" customWidth="true" hidden="false" outlineLevel="0" max="6" min="2" style="0" width="12.43"/>
    <col collapsed="false" customWidth="true" hidden="false" outlineLevel="0" max="7" min="7" style="0" width="15"/>
    <col collapsed="false" customWidth="true" hidden="false" outlineLevel="0" max="8" min="8" style="0" width="13.14"/>
    <col collapsed="false" customWidth="true" hidden="false" outlineLevel="0" max="9" min="9" style="0" width="15.86"/>
  </cols>
  <sheetData>
    <row r="1" customFormat="false" ht="15" hidden="false" customHeight="false" outlineLevel="0" collapsed="false">
      <c r="A1" s="0" t="s">
        <v>21</v>
      </c>
      <c r="B1" s="0" t="s">
        <v>12</v>
      </c>
      <c r="D1" s="0" t="s">
        <v>14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</row>
    <row r="2" customFormat="false" ht="15" hidden="false" customHeight="false" outlineLevel="0" collapsed="false">
      <c r="A2" s="0" t="s">
        <v>27</v>
      </c>
      <c r="B2" s="0" t="str">
        <f aca="false">"USSO"&amp;A2</f>
        <v>USSOA</v>
      </c>
      <c r="C2" s="0" t="s">
        <v>28</v>
      </c>
      <c r="D2" s="0" t="s">
        <v>18</v>
      </c>
      <c r="E2" s="0" t="s">
        <v>29</v>
      </c>
      <c r="F2" s="0" t="s">
        <v>30</v>
      </c>
      <c r="G2" s="1" t="e">
        <f aca="false" t="array" ref="G2:G2">DATEVALUE(_xll.bdp($B2&amp;" Curncy",G$1))</f>
        <v>#NAME?</v>
      </c>
      <c r="H2" s="1" t="e">
        <f aca="false" t="array" ref="H2:H2">DATEVALUE(_xll.bdp($B2&amp;" Curncy",H$1))</f>
        <v>#NAME?</v>
      </c>
      <c r="I2" s="0" t="e">
        <f aca="false" t="array" ref="I2:I2">_xll.bdp($B2&amp;" Curncy",I$1)</f>
        <v>#NAME?</v>
      </c>
    </row>
    <row r="3" customFormat="false" ht="15" hidden="false" customHeight="false" outlineLevel="0" collapsed="false">
      <c r="A3" s="0" t="s">
        <v>31</v>
      </c>
      <c r="B3" s="0" t="str">
        <f aca="false">"USSO"&amp;A3</f>
        <v>USSOB</v>
      </c>
      <c r="C3" s="0" t="s">
        <v>32</v>
      </c>
      <c r="D3" s="0" t="s">
        <v>18</v>
      </c>
      <c r="E3" s="0" t="s">
        <v>29</v>
      </c>
      <c r="F3" s="0" t="s">
        <v>30</v>
      </c>
      <c r="G3" s="1" t="e">
        <f aca="false" t="array" ref="G3:G3">DATEVALUE(_xll.bdp($B3&amp;" Curncy",G$1))</f>
        <v>#NAME?</v>
      </c>
      <c r="H3" s="1" t="e">
        <f aca="false" t="array" ref="H3:H3">DATEVALUE(_xll.bdp($B3&amp;" Curncy",H$1))</f>
        <v>#NAME?</v>
      </c>
      <c r="I3" s="0" t="e">
        <f aca="false" t="array" ref="I3:I3">_xll.bdp($B3&amp;" Curncy",I$1)</f>
        <v>#NAME?</v>
      </c>
    </row>
    <row r="4" customFormat="false" ht="15" hidden="false" customHeight="false" outlineLevel="0" collapsed="false">
      <c r="A4" s="0" t="s">
        <v>33</v>
      </c>
      <c r="B4" s="0" t="str">
        <f aca="false">"USSO"&amp;A4</f>
        <v>USSOC</v>
      </c>
      <c r="C4" s="0" t="s">
        <v>34</v>
      </c>
      <c r="D4" s="0" t="s">
        <v>18</v>
      </c>
      <c r="E4" s="0" t="s">
        <v>29</v>
      </c>
      <c r="F4" s="0" t="s">
        <v>30</v>
      </c>
      <c r="G4" s="1" t="e">
        <f aca="false" t="array" ref="G4:G4">DATEVALUE(_xll.bdp($B4&amp;" Curncy",G$1))</f>
        <v>#NAME?</v>
      </c>
      <c r="H4" s="1" t="e">
        <f aca="false" t="array" ref="H4:H4">DATEVALUE(_xll.bdp($B4&amp;" Curncy",H$1))</f>
        <v>#NAME?</v>
      </c>
      <c r="I4" s="0" t="e">
        <f aca="false" t="array" ref="I4:I4">_xll.bdp($B4&amp;" Curncy",I$1)</f>
        <v>#NAME?</v>
      </c>
    </row>
    <row r="5" customFormat="false" ht="15" hidden="false" customHeight="false" outlineLevel="0" collapsed="false">
      <c r="A5" s="0" t="s">
        <v>35</v>
      </c>
      <c r="B5" s="0" t="str">
        <f aca="false">"USSO"&amp;A5</f>
        <v>USSOD</v>
      </c>
      <c r="C5" s="0" t="s">
        <v>36</v>
      </c>
      <c r="D5" s="0" t="s">
        <v>18</v>
      </c>
      <c r="E5" s="0" t="s">
        <v>29</v>
      </c>
      <c r="F5" s="0" t="s">
        <v>30</v>
      </c>
      <c r="G5" s="1" t="e">
        <f aca="false" t="array" ref="G5:G5">DATEVALUE(_xll.bdp($B5&amp;" Curncy",G$1))</f>
        <v>#NAME?</v>
      </c>
      <c r="H5" s="1" t="e">
        <f aca="false" t="array" ref="H5:H5">DATEVALUE(_xll.bdp($B5&amp;" Curncy",H$1))</f>
        <v>#NAME?</v>
      </c>
      <c r="I5" s="0" t="e">
        <f aca="false" t="array" ref="I5:I5">_xll.bdp($B5&amp;" Curncy",I$1)</f>
        <v>#NAME?</v>
      </c>
    </row>
    <row r="6" customFormat="false" ht="15" hidden="false" customHeight="false" outlineLevel="0" collapsed="false">
      <c r="A6" s="0" t="s">
        <v>37</v>
      </c>
      <c r="B6" s="0" t="str">
        <f aca="false">"USSO"&amp;A6</f>
        <v>USSOE</v>
      </c>
      <c r="C6" s="0" t="s">
        <v>38</v>
      </c>
      <c r="D6" s="0" t="s">
        <v>18</v>
      </c>
      <c r="E6" s="0" t="s">
        <v>29</v>
      </c>
      <c r="F6" s="0" t="s">
        <v>30</v>
      </c>
      <c r="G6" s="1" t="e">
        <f aca="false" t="array" ref="G6:G6">DATEVALUE(_xll.bdp($B6&amp;" Curncy",G$1))</f>
        <v>#NAME?</v>
      </c>
      <c r="H6" s="1" t="e">
        <f aca="false" t="array" ref="H6:H6">DATEVALUE(_xll.bdp($B6&amp;" Curncy",H$1))</f>
        <v>#NAME?</v>
      </c>
      <c r="I6" s="0" t="e">
        <f aca="false" t="array" ref="I6:I6">_xll.bdp($B6&amp;" Curncy",I$1)</f>
        <v>#NAME?</v>
      </c>
    </row>
    <row r="7" customFormat="false" ht="15" hidden="false" customHeight="false" outlineLevel="0" collapsed="false">
      <c r="A7" s="0" t="s">
        <v>39</v>
      </c>
      <c r="B7" s="0" t="str">
        <f aca="false">"USSO"&amp;A7</f>
        <v>USSOF</v>
      </c>
      <c r="C7" s="0" t="s">
        <v>40</v>
      </c>
      <c r="D7" s="0" t="s">
        <v>18</v>
      </c>
      <c r="E7" s="0" t="s">
        <v>29</v>
      </c>
      <c r="F7" s="0" t="s">
        <v>30</v>
      </c>
      <c r="G7" s="1" t="e">
        <f aca="false" t="array" ref="G7:G7">DATEVALUE(_xll.bdp($B7&amp;" Curncy",G$1))</f>
        <v>#NAME?</v>
      </c>
      <c r="H7" s="1" t="e">
        <f aca="false" t="array" ref="H7:H7">DATEVALUE(_xll.bdp($B7&amp;" Curncy",H$1))</f>
        <v>#NAME?</v>
      </c>
      <c r="I7" s="0" t="e">
        <f aca="false" t="array" ref="I7:I7">_xll.bdp($B7&amp;" Curncy",I$1)</f>
        <v>#NAME?</v>
      </c>
    </row>
    <row r="8" customFormat="false" ht="15" hidden="false" customHeight="false" outlineLevel="0" collapsed="false">
      <c r="A8" s="0" t="s">
        <v>41</v>
      </c>
      <c r="B8" s="0" t="str">
        <f aca="false">"USSO"&amp;A8</f>
        <v>USSOG</v>
      </c>
      <c r="C8" s="0" t="s">
        <v>42</v>
      </c>
      <c r="D8" s="0" t="s">
        <v>18</v>
      </c>
      <c r="E8" s="0" t="s">
        <v>29</v>
      </c>
      <c r="F8" s="0" t="s">
        <v>30</v>
      </c>
      <c r="G8" s="1" t="e">
        <f aca="false" t="array" ref="G8:G8">DATEVALUE(_xll.bdp($B8&amp;" Curncy",G$1))</f>
        <v>#NAME?</v>
      </c>
      <c r="H8" s="1" t="e">
        <f aca="false" t="array" ref="H8:H8">DATEVALUE(_xll.bdp($B8&amp;" Curncy",H$1))</f>
        <v>#NAME?</v>
      </c>
      <c r="I8" s="0" t="e">
        <f aca="false" t="array" ref="I8:I8">_xll.bdp($B8&amp;" Curncy",I$1)</f>
        <v>#NAME?</v>
      </c>
    </row>
    <row r="9" customFormat="false" ht="15" hidden="false" customHeight="false" outlineLevel="0" collapsed="false">
      <c r="A9" s="0" t="s">
        <v>43</v>
      </c>
      <c r="B9" s="0" t="str">
        <f aca="false">"USSO"&amp;A9</f>
        <v>USSOH</v>
      </c>
      <c r="C9" s="0" t="s">
        <v>44</v>
      </c>
      <c r="D9" s="0" t="s">
        <v>18</v>
      </c>
      <c r="E9" s="0" t="s">
        <v>29</v>
      </c>
      <c r="F9" s="0" t="s">
        <v>30</v>
      </c>
      <c r="G9" s="1" t="e">
        <f aca="false" t="array" ref="G9:G9">DATEVALUE(_xll.bdp($B9&amp;" Curncy",G$1))</f>
        <v>#NAME?</v>
      </c>
      <c r="H9" s="1" t="e">
        <f aca="false" t="array" ref="H9:H9">DATEVALUE(_xll.bdp($B9&amp;" Curncy",H$1))</f>
        <v>#NAME?</v>
      </c>
      <c r="I9" s="0" t="e">
        <f aca="false" t="array" ref="I9:I9">_xll.bdp($B9&amp;" Curncy",I$1)</f>
        <v>#NAME?</v>
      </c>
    </row>
    <row r="10" customFormat="false" ht="15" hidden="false" customHeight="false" outlineLevel="0" collapsed="false">
      <c r="A10" s="0" t="s">
        <v>45</v>
      </c>
      <c r="B10" s="0" t="str">
        <f aca="false">"USSO"&amp;A10</f>
        <v>USSOI</v>
      </c>
      <c r="C10" s="0" t="s">
        <v>46</v>
      </c>
      <c r="D10" s="0" t="s">
        <v>18</v>
      </c>
      <c r="E10" s="0" t="s">
        <v>29</v>
      </c>
      <c r="F10" s="0" t="s">
        <v>30</v>
      </c>
      <c r="G10" s="1" t="e">
        <f aca="false" t="array" ref="G10:G10">DATEVALUE(_xll.bdp($B10&amp;" Curncy",G$1))</f>
        <v>#NAME?</v>
      </c>
      <c r="H10" s="1" t="e">
        <f aca="false" t="array" ref="H10:H10">DATEVALUE(_xll.bdp($B10&amp;" Curncy",H$1))</f>
        <v>#NAME?</v>
      </c>
      <c r="I10" s="0" t="e">
        <f aca="false" t="array" ref="I10:I10">_xll.bdp($B10&amp;" Curncy",I$1)</f>
        <v>#NAME?</v>
      </c>
    </row>
    <row r="11" customFormat="false" ht="15" hidden="false" customHeight="false" outlineLevel="0" collapsed="false">
      <c r="A11" s="0" t="s">
        <v>47</v>
      </c>
      <c r="B11" s="0" t="str">
        <f aca="false">"USSO"&amp;A11</f>
        <v>USSOJ</v>
      </c>
      <c r="C11" s="0" t="s">
        <v>48</v>
      </c>
      <c r="D11" s="0" t="s">
        <v>18</v>
      </c>
      <c r="E11" s="0" t="s">
        <v>29</v>
      </c>
      <c r="F11" s="0" t="s">
        <v>30</v>
      </c>
      <c r="G11" s="1" t="e">
        <f aca="false" t="array" ref="G11:G11">DATEVALUE(_xll.bdp($B11&amp;" Curncy",G$1))</f>
        <v>#NAME?</v>
      </c>
      <c r="H11" s="1" t="e">
        <f aca="false" t="array" ref="H11:H11">DATEVALUE(_xll.bdp($B11&amp;" Curncy",H$1))</f>
        <v>#NAME?</v>
      </c>
      <c r="I11" s="0" t="e">
        <f aca="false" t="array" ref="I11:I11">_xll.bdp($B11&amp;" Curncy",I$1)</f>
        <v>#NAME?</v>
      </c>
    </row>
    <row r="12" customFormat="false" ht="15" hidden="false" customHeight="false" outlineLevel="0" collapsed="false">
      <c r="A12" s="0" t="s">
        <v>49</v>
      </c>
      <c r="B12" s="0" t="str">
        <f aca="false">"USSO"&amp;A12</f>
        <v>USSOK</v>
      </c>
      <c r="C12" s="0" t="s">
        <v>50</v>
      </c>
      <c r="D12" s="0" t="s">
        <v>18</v>
      </c>
      <c r="E12" s="0" t="s">
        <v>29</v>
      </c>
      <c r="F12" s="0" t="s">
        <v>30</v>
      </c>
      <c r="G12" s="1" t="e">
        <f aca="false" t="array" ref="G12:G12">DATEVALUE(_xll.bdp($B12&amp;" Curncy",G$1))</f>
        <v>#NAME?</v>
      </c>
      <c r="H12" s="1" t="e">
        <f aca="false" t="array" ref="H12:H12">DATEVALUE(_xll.bdp($B12&amp;" Curncy",H$1))</f>
        <v>#NAME?</v>
      </c>
      <c r="I12" s="0" t="e">
        <f aca="false" t="array" ref="I12:I12">_xll.bdp($B12&amp;" Curncy",I$1)</f>
        <v>#NAME?</v>
      </c>
    </row>
    <row r="13" customFormat="false" ht="15" hidden="false" customHeight="false" outlineLevel="0" collapsed="false">
      <c r="A13" s="0" t="n">
        <v>1</v>
      </c>
      <c r="B13" s="0" t="str">
        <f aca="false">"USSO"&amp;A13</f>
        <v>USSO1</v>
      </c>
      <c r="C13" s="0" t="s">
        <v>51</v>
      </c>
      <c r="D13" s="0" t="s">
        <v>18</v>
      </c>
      <c r="E13" s="0" t="s">
        <v>29</v>
      </c>
      <c r="F13" s="0" t="s">
        <v>30</v>
      </c>
      <c r="G13" s="1" t="e">
        <f aca="false" t="array" ref="G13:G13">DATEVALUE(_xll.bdp($B13&amp;" Curncy",G$1))</f>
        <v>#NAME?</v>
      </c>
      <c r="H13" s="1" t="e">
        <f aca="false" t="array" ref="H13:H13">DATEVALUE(_xll.bdp($B13&amp;" Curncy",H$1))</f>
        <v>#NAME?</v>
      </c>
      <c r="I13" s="0" t="e">
        <f aca="false" t="array" ref="I13:I13">_xll.bdp($B13&amp;" Curncy",I$1)</f>
        <v>#NAME?</v>
      </c>
    </row>
    <row r="14" customFormat="false" ht="15" hidden="false" customHeight="false" outlineLevel="0" collapsed="false">
      <c r="A14" s="0" t="n">
        <v>2</v>
      </c>
      <c r="B14" s="0" t="str">
        <f aca="false">"USSO"&amp;A14</f>
        <v>USSO2</v>
      </c>
      <c r="C14" s="0" t="s">
        <v>52</v>
      </c>
      <c r="D14" s="0" t="s">
        <v>18</v>
      </c>
      <c r="E14" s="0" t="s">
        <v>29</v>
      </c>
      <c r="F14" s="0" t="s">
        <v>30</v>
      </c>
      <c r="G14" s="1" t="e">
        <f aca="false" t="array" ref="G14:G14">DATEVALUE(_xll.bdp($B14&amp;" Curncy",G$1))</f>
        <v>#NAME?</v>
      </c>
      <c r="H14" s="1" t="e">
        <f aca="false" t="array" ref="H14:H14">DATEVALUE(_xll.bdp($B14&amp;" Curncy",H$1))</f>
        <v>#NAME?</v>
      </c>
      <c r="I14" s="0" t="e">
        <f aca="false" t="array" ref="I14:I14">_xll.bdp($B14&amp;" Curncy",I$1)</f>
        <v>#NAME?</v>
      </c>
    </row>
    <row r="15" customFormat="false" ht="15" hidden="false" customHeight="false" outlineLevel="0" collapsed="false">
      <c r="A15" s="0" t="n">
        <v>3</v>
      </c>
      <c r="B15" s="0" t="str">
        <f aca="false">"USSO"&amp;A15</f>
        <v>USSO3</v>
      </c>
      <c r="C15" s="0" t="s">
        <v>53</v>
      </c>
      <c r="D15" s="0" t="s">
        <v>18</v>
      </c>
      <c r="E15" s="0" t="s">
        <v>29</v>
      </c>
      <c r="F15" s="0" t="s">
        <v>30</v>
      </c>
      <c r="G15" s="1" t="e">
        <f aca="false" t="array" ref="G15:G15">DATEVALUE(_xll.bdp($B15&amp;" Curncy",G$1))</f>
        <v>#NAME?</v>
      </c>
      <c r="H15" s="1" t="e">
        <f aca="false" t="array" ref="H15:H15">DATEVALUE(_xll.bdp($B15&amp;" Curncy",H$1))</f>
        <v>#NAME?</v>
      </c>
      <c r="I15" s="0" t="e">
        <f aca="false" t="array" ref="I15:I15">_xll.bdp($B15&amp;" Curncy",I$1)</f>
        <v>#NAME?</v>
      </c>
    </row>
    <row r="16" customFormat="false" ht="15" hidden="false" customHeight="false" outlineLevel="0" collapsed="false">
      <c r="A16" s="0" t="n">
        <v>4</v>
      </c>
      <c r="B16" s="0" t="str">
        <f aca="false">"USSO"&amp;A16</f>
        <v>USSO4</v>
      </c>
      <c r="C16" s="0" t="s">
        <v>54</v>
      </c>
      <c r="D16" s="0" t="s">
        <v>18</v>
      </c>
      <c r="E16" s="0" t="s">
        <v>29</v>
      </c>
      <c r="F16" s="0" t="s">
        <v>30</v>
      </c>
      <c r="G16" s="1" t="e">
        <f aca="false" t="array" ref="G16:G16">DATEVALUE(_xll.bdp($B16&amp;" Curncy",G$1))</f>
        <v>#NAME?</v>
      </c>
      <c r="H16" s="1" t="e">
        <f aca="false" t="array" ref="H16:H16">DATEVALUE(_xll.bdp($B16&amp;" Curncy",H$1))</f>
        <v>#NAME?</v>
      </c>
      <c r="I16" s="0" t="e">
        <f aca="false" t="array" ref="I16:I16">_xll.bdp($B16&amp;" Curncy",I$1)</f>
        <v>#NAME?</v>
      </c>
    </row>
    <row r="17" customFormat="false" ht="15" hidden="false" customHeight="false" outlineLevel="0" collapsed="false">
      <c r="A17" s="0" t="n">
        <v>5</v>
      </c>
      <c r="B17" s="0" t="str">
        <f aca="false">"USSO"&amp;A17</f>
        <v>USSO5</v>
      </c>
      <c r="C17" s="0" t="s">
        <v>55</v>
      </c>
      <c r="D17" s="0" t="s">
        <v>18</v>
      </c>
      <c r="E17" s="0" t="s">
        <v>29</v>
      </c>
      <c r="F17" s="0" t="s">
        <v>30</v>
      </c>
      <c r="G17" s="1" t="e">
        <f aca="false" t="array" ref="G17:G17">DATEVALUE(_xll.bdp($B17&amp;" Curncy",G$1))</f>
        <v>#NAME?</v>
      </c>
      <c r="H17" s="1" t="e">
        <f aca="false" t="array" ref="H17:H17">DATEVALUE(_xll.bdp($B17&amp;" Curncy",H$1))</f>
        <v>#NAME?</v>
      </c>
      <c r="I17" s="0" t="e">
        <f aca="false" t="array" ref="I17:I17">_xll.bdp($B17&amp;" Curncy",I$1)</f>
        <v>#NAME?</v>
      </c>
    </row>
    <row r="18" customFormat="false" ht="15" hidden="false" customHeight="false" outlineLevel="0" collapsed="false">
      <c r="A18" s="0" t="n">
        <v>1</v>
      </c>
      <c r="B18" s="0" t="str">
        <f aca="false">"USSOFED"&amp;A18</f>
        <v>USSOFED1</v>
      </c>
      <c r="C18" s="0" t="str">
        <f aca="false">RIGHT(B18,4)</f>
        <v>FED1</v>
      </c>
      <c r="D18" s="0" t="s">
        <v>18</v>
      </c>
      <c r="E18" s="0" t="s">
        <v>29</v>
      </c>
      <c r="F18" s="0" t="s">
        <v>56</v>
      </c>
      <c r="G18" s="1" t="e">
        <f aca="false" t="array" ref="G18:G18">DATEVALUE(_xll.bdp($B18&amp;" Curncy",G$1))</f>
        <v>#NAME?</v>
      </c>
      <c r="H18" s="1" t="e">
        <f aca="false" t="array" ref="H18:H18">DATEVALUE(_xll.bdp($B18&amp;" Curncy",H$1))</f>
        <v>#NAME?</v>
      </c>
      <c r="I18" s="0" t="e">
        <f aca="false" t="array" ref="I18:I18">_xll.bdp($B18&amp;" Curncy",I$1)</f>
        <v>#NAME?</v>
      </c>
    </row>
    <row r="19" customFormat="false" ht="15" hidden="false" customHeight="false" outlineLevel="0" collapsed="false">
      <c r="A19" s="0" t="n">
        <v>2</v>
      </c>
      <c r="B19" s="0" t="str">
        <f aca="false">"USSOFED"&amp;A19</f>
        <v>USSOFED2</v>
      </c>
      <c r="C19" s="0" t="str">
        <f aca="false">RIGHT(B19,4)</f>
        <v>FED2</v>
      </c>
      <c r="D19" s="0" t="s">
        <v>18</v>
      </c>
      <c r="E19" s="0" t="s">
        <v>29</v>
      </c>
      <c r="F19" s="0" t="s">
        <v>56</v>
      </c>
      <c r="G19" s="1" t="e">
        <f aca="false" t="array" ref="G19:G19">DATEVALUE(_xll.bdp($B19&amp;" Curncy",G$1))</f>
        <v>#NAME?</v>
      </c>
      <c r="H19" s="1" t="e">
        <f aca="false" t="array" ref="H19:H19">DATEVALUE(_xll.bdp($B19&amp;" Curncy",H$1))</f>
        <v>#NAME?</v>
      </c>
      <c r="I19" s="0" t="e">
        <f aca="false" t="array" ref="I19:I19">_xll.bdp($B19&amp;" Curncy",I$1)</f>
        <v>#NAME?</v>
      </c>
    </row>
    <row r="20" customFormat="false" ht="15" hidden="false" customHeight="false" outlineLevel="0" collapsed="false">
      <c r="A20" s="0" t="n">
        <v>3</v>
      </c>
      <c r="B20" s="0" t="str">
        <f aca="false">"USSOFED"&amp;A20</f>
        <v>USSOFED3</v>
      </c>
      <c r="C20" s="0" t="str">
        <f aca="false">RIGHT(B20,4)</f>
        <v>FED3</v>
      </c>
      <c r="D20" s="0" t="s">
        <v>18</v>
      </c>
      <c r="E20" s="0" t="s">
        <v>29</v>
      </c>
      <c r="F20" s="0" t="s">
        <v>56</v>
      </c>
      <c r="G20" s="1" t="e">
        <f aca="false" t="array" ref="G20:G20">DATEVALUE(_xll.bdp($B20&amp;" Curncy",G$1))</f>
        <v>#NAME?</v>
      </c>
      <c r="H20" s="1" t="e">
        <f aca="false" t="array" ref="H20:H20">DATEVALUE(_xll.bdp($B20&amp;" Curncy",H$1))</f>
        <v>#NAME?</v>
      </c>
      <c r="I20" s="0" t="e">
        <f aca="false" t="array" ref="I20:I20">_xll.bdp($B20&amp;" Curncy",I$1)</f>
        <v>#NAME?</v>
      </c>
    </row>
    <row r="21" customFormat="false" ht="15" hidden="false" customHeight="false" outlineLevel="0" collapsed="false">
      <c r="A21" s="0" t="n">
        <v>4</v>
      </c>
      <c r="B21" s="0" t="str">
        <f aca="false">"USSOFED"&amp;A21</f>
        <v>USSOFED4</v>
      </c>
      <c r="C21" s="0" t="str">
        <f aca="false">RIGHT(B21,4)</f>
        <v>FED4</v>
      </c>
      <c r="D21" s="0" t="s">
        <v>18</v>
      </c>
      <c r="E21" s="0" t="s">
        <v>29</v>
      </c>
      <c r="F21" s="0" t="s">
        <v>56</v>
      </c>
      <c r="G21" s="1" t="e">
        <f aca="false" t="array" ref="G21:G21">DATEVALUE(_xll.bdp($B21&amp;" Curncy",G$1))</f>
        <v>#NAME?</v>
      </c>
      <c r="H21" s="1" t="e">
        <f aca="false" t="array" ref="H21:H21">DATEVALUE(_xll.bdp($B21&amp;" Curncy",H$1))</f>
        <v>#NAME?</v>
      </c>
      <c r="I21" s="0" t="e">
        <f aca="false" t="array" ref="I21:I21">_xll.bdp($B21&amp;" Curncy",I$1)</f>
        <v>#NAME?</v>
      </c>
    </row>
    <row r="22" customFormat="false" ht="15" hidden="false" customHeight="false" outlineLevel="0" collapsed="false">
      <c r="A22" s="0" t="n">
        <v>5</v>
      </c>
      <c r="B22" s="0" t="str">
        <f aca="false">"USSOFED"&amp;A22</f>
        <v>USSOFED5</v>
      </c>
      <c r="C22" s="0" t="str">
        <f aca="false">RIGHT(B22,4)</f>
        <v>FED5</v>
      </c>
      <c r="D22" s="0" t="s">
        <v>18</v>
      </c>
      <c r="E22" s="0" t="s">
        <v>29</v>
      </c>
      <c r="F22" s="0" t="s">
        <v>56</v>
      </c>
      <c r="G22" s="1" t="e">
        <f aca="false" t="array" ref="G22:G22">DATEVALUE(_xll.bdp($B22&amp;" Curncy",G$1))</f>
        <v>#NAME?</v>
      </c>
      <c r="H22" s="1" t="e">
        <f aca="false" t="array" ref="H22:H22">DATEVALUE(_xll.bdp($B22&amp;" Curncy",H$1))</f>
        <v>#NAME?</v>
      </c>
      <c r="I22" s="0" t="e">
        <f aca="false" t="array" ref="I22:I22">_xll.bdp($B22&amp;" Curncy",I$1)</f>
        <v>#NAME?</v>
      </c>
    </row>
    <row r="23" customFormat="false" ht="15" hidden="false" customHeight="false" outlineLevel="0" collapsed="false">
      <c r="A23" s="0" t="n">
        <v>6</v>
      </c>
      <c r="B23" s="0" t="str">
        <f aca="false">"USSOFED"&amp;A23</f>
        <v>USSOFED6</v>
      </c>
      <c r="C23" s="0" t="str">
        <f aca="false">RIGHT(B23,4)</f>
        <v>FED6</v>
      </c>
      <c r="D23" s="0" t="s">
        <v>18</v>
      </c>
      <c r="E23" s="0" t="s">
        <v>29</v>
      </c>
      <c r="F23" s="0" t="s">
        <v>56</v>
      </c>
      <c r="G23" s="1" t="e">
        <f aca="false" t="array" ref="G23:G23">DATEVALUE(_xll.bdp($B23&amp;" Curncy",G$1))</f>
        <v>#NAME?</v>
      </c>
      <c r="H23" s="1" t="e">
        <f aca="false" t="array" ref="H23:H23">DATEVALUE(_xll.bdp($B23&amp;" Curncy",H$1))</f>
        <v>#NAME?</v>
      </c>
      <c r="I23" s="0" t="e">
        <f aca="false" t="array" ref="I23:I23">_xll.bdp($B23&amp;" Curncy",I$1)</f>
        <v>#NAME?</v>
      </c>
    </row>
    <row r="24" customFormat="false" ht="15" hidden="false" customHeight="false" outlineLevel="0" collapsed="false">
      <c r="A24" s="0" t="n">
        <v>7</v>
      </c>
      <c r="B24" s="0" t="str">
        <f aca="false">"USSOFED"&amp;A24</f>
        <v>USSOFED7</v>
      </c>
      <c r="C24" s="0" t="str">
        <f aca="false">RIGHT(B24,4)</f>
        <v>FED7</v>
      </c>
      <c r="D24" s="0" t="s">
        <v>18</v>
      </c>
      <c r="E24" s="0" t="s">
        <v>29</v>
      </c>
      <c r="F24" s="0" t="s">
        <v>56</v>
      </c>
      <c r="G24" s="1" t="e">
        <f aca="false" t="array" ref="G24:G24">DATEVALUE(_xll.bdp($B24&amp;" Curncy",G$1))</f>
        <v>#NAME?</v>
      </c>
      <c r="H24" s="1" t="e">
        <f aca="false" t="array" ref="H24:H24">DATEVALUE(_xll.bdp($B24&amp;" Curncy",H$1))</f>
        <v>#NAME?</v>
      </c>
      <c r="I24" s="0" t="e">
        <f aca="false" t="array" ref="I24:I24">_xll.bdp($B24&amp;" Curncy",I$1)</f>
        <v>#NAME?</v>
      </c>
    </row>
    <row r="25" customFormat="false" ht="15" hidden="false" customHeight="false" outlineLevel="0" collapsed="false">
      <c r="A25" s="0" t="n">
        <v>8</v>
      </c>
      <c r="B25" s="0" t="str">
        <f aca="false">"USSOFED"&amp;A25</f>
        <v>USSOFED8</v>
      </c>
      <c r="C25" s="0" t="str">
        <f aca="false">RIGHT(B25,4)</f>
        <v>FED8</v>
      </c>
      <c r="D25" s="0" t="s">
        <v>18</v>
      </c>
      <c r="E25" s="0" t="s">
        <v>29</v>
      </c>
      <c r="F25" s="0" t="s">
        <v>56</v>
      </c>
      <c r="G25" s="1" t="e">
        <f aca="false" t="array" ref="G25:G25">DATEVALUE(_xll.bdp($B25&amp;" Curncy",G$1))</f>
        <v>#NAME?</v>
      </c>
      <c r="H25" s="1" t="e">
        <f aca="false" t="array" ref="H25:H25">DATEVALUE(_xll.bdp($B25&amp;" Curncy",H$1))</f>
        <v>#NAME?</v>
      </c>
      <c r="I25" s="0" t="e">
        <f aca="false" t="array" ref="I25:I25">_xll.bdp($B25&amp;" Curncy",I$1)</f>
        <v>#NAME?</v>
      </c>
    </row>
    <row r="26" customFormat="false" ht="15" hidden="false" customHeight="false" outlineLevel="0" collapsed="false">
      <c r="A26" s="0" t="s">
        <v>27</v>
      </c>
      <c r="B26" s="0" t="str">
        <f aca="false">"EESWE"&amp;A26</f>
        <v>EESWEA</v>
      </c>
      <c r="C26" s="0" t="s">
        <v>28</v>
      </c>
      <c r="D26" s="0" t="s">
        <v>20</v>
      </c>
      <c r="E26" s="0" t="s">
        <v>29</v>
      </c>
      <c r="F26" s="0" t="s">
        <v>30</v>
      </c>
      <c r="G26" s="1" t="e">
        <f aca="false" t="array" ref="G26:G26">DATEVALUE(_xll.bdp($B26&amp;" Curncy",G$1))</f>
        <v>#NAME?</v>
      </c>
      <c r="H26" s="1" t="e">
        <f aca="false" t="array" ref="H26:H26">DATEVALUE(_xll.bdp($B26&amp;" Curncy",H$1))</f>
        <v>#NAME?</v>
      </c>
      <c r="I26" s="0" t="e">
        <f aca="false" t="array" ref="I26:I26">_xll.bdp($B26&amp;" Curncy",I$1)</f>
        <v>#NAME?</v>
      </c>
    </row>
    <row r="27" customFormat="false" ht="15" hidden="false" customHeight="false" outlineLevel="0" collapsed="false">
      <c r="A27" s="0" t="s">
        <v>31</v>
      </c>
      <c r="B27" s="0" t="str">
        <f aca="false">"EESWE"&amp;A27</f>
        <v>EESWEB</v>
      </c>
      <c r="C27" s="0" t="s">
        <v>32</v>
      </c>
      <c r="D27" s="0" t="s">
        <v>20</v>
      </c>
      <c r="E27" s="0" t="s">
        <v>29</v>
      </c>
      <c r="F27" s="0" t="s">
        <v>30</v>
      </c>
      <c r="G27" s="1" t="e">
        <f aca="false" t="array" ref="G27:G27">DATEVALUE(_xll.bdp($B27&amp;" Curncy",G$1))</f>
        <v>#NAME?</v>
      </c>
      <c r="H27" s="1" t="e">
        <f aca="false" t="array" ref="H27:H27">DATEVALUE(_xll.bdp($B27&amp;" Curncy",H$1))</f>
        <v>#NAME?</v>
      </c>
      <c r="I27" s="0" t="e">
        <f aca="false" t="array" ref="I27:I27">_xll.bdp($B27&amp;" Curncy",I$1)</f>
        <v>#NAME?</v>
      </c>
    </row>
    <row r="28" customFormat="false" ht="15" hidden="false" customHeight="false" outlineLevel="0" collapsed="false">
      <c r="A28" s="0" t="s">
        <v>33</v>
      </c>
      <c r="B28" s="0" t="str">
        <f aca="false">"EESWE"&amp;A28</f>
        <v>EESWEC</v>
      </c>
      <c r="C28" s="0" t="s">
        <v>34</v>
      </c>
      <c r="D28" s="0" t="s">
        <v>20</v>
      </c>
      <c r="E28" s="0" t="s">
        <v>29</v>
      </c>
      <c r="F28" s="0" t="s">
        <v>30</v>
      </c>
      <c r="G28" s="1" t="e">
        <f aca="false" t="array" ref="G28:G28">DATEVALUE(_xll.bdp($B28&amp;" Curncy",G$1))</f>
        <v>#NAME?</v>
      </c>
      <c r="H28" s="1" t="e">
        <f aca="false" t="array" ref="H28:H28">DATEVALUE(_xll.bdp($B28&amp;" Curncy",H$1))</f>
        <v>#NAME?</v>
      </c>
      <c r="I28" s="0" t="e">
        <f aca="false" t="array" ref="I28:I28">_xll.bdp($B28&amp;" Curncy",I$1)</f>
        <v>#NAME?</v>
      </c>
    </row>
    <row r="29" customFormat="false" ht="15" hidden="false" customHeight="false" outlineLevel="0" collapsed="false">
      <c r="A29" s="0" t="s">
        <v>35</v>
      </c>
      <c r="B29" s="0" t="str">
        <f aca="false">"EESWE"&amp;A29</f>
        <v>EESWED</v>
      </c>
      <c r="C29" s="0" t="s">
        <v>36</v>
      </c>
      <c r="D29" s="0" t="s">
        <v>20</v>
      </c>
      <c r="E29" s="0" t="s">
        <v>29</v>
      </c>
      <c r="F29" s="0" t="s">
        <v>30</v>
      </c>
      <c r="G29" s="1" t="e">
        <f aca="false" t="array" ref="G29:G29">DATEVALUE(_xll.bdp($B29&amp;" Curncy",G$1))</f>
        <v>#NAME?</v>
      </c>
      <c r="H29" s="1" t="e">
        <f aca="false" t="array" ref="H29:H29">DATEVALUE(_xll.bdp($B29&amp;" Curncy",H$1))</f>
        <v>#NAME?</v>
      </c>
      <c r="I29" s="0" t="e">
        <f aca="false" t="array" ref="I29:I29">_xll.bdp($B29&amp;" Curncy",I$1)</f>
        <v>#NAME?</v>
      </c>
    </row>
    <row r="30" customFormat="false" ht="15" hidden="false" customHeight="false" outlineLevel="0" collapsed="false">
      <c r="A30" s="0" t="s">
        <v>37</v>
      </c>
      <c r="B30" s="0" t="str">
        <f aca="false">"EESWE"&amp;A30</f>
        <v>EESWEE</v>
      </c>
      <c r="C30" s="0" t="s">
        <v>38</v>
      </c>
      <c r="D30" s="0" t="s">
        <v>20</v>
      </c>
      <c r="E30" s="0" t="s">
        <v>29</v>
      </c>
      <c r="F30" s="0" t="s">
        <v>30</v>
      </c>
      <c r="G30" s="1" t="e">
        <f aca="false" t="array" ref="G30:G30">DATEVALUE(_xll.bdp($B30&amp;" Curncy",G$1))</f>
        <v>#NAME?</v>
      </c>
      <c r="H30" s="1" t="e">
        <f aca="false" t="array" ref="H30:H30">DATEVALUE(_xll.bdp($B30&amp;" Curncy",H$1))</f>
        <v>#NAME?</v>
      </c>
      <c r="I30" s="0" t="e">
        <f aca="false" t="array" ref="I30:I30">_xll.bdp($B30&amp;" Curncy",I$1)</f>
        <v>#NAME?</v>
      </c>
    </row>
    <row r="31" customFormat="false" ht="15" hidden="false" customHeight="false" outlineLevel="0" collapsed="false">
      <c r="A31" s="0" t="s">
        <v>39</v>
      </c>
      <c r="B31" s="0" t="str">
        <f aca="false">"EESWE"&amp;A31</f>
        <v>EESWEF</v>
      </c>
      <c r="C31" s="0" t="s">
        <v>40</v>
      </c>
      <c r="D31" s="0" t="s">
        <v>20</v>
      </c>
      <c r="E31" s="0" t="s">
        <v>29</v>
      </c>
      <c r="F31" s="0" t="s">
        <v>30</v>
      </c>
      <c r="G31" s="1" t="e">
        <f aca="false" t="array" ref="G31:G31">DATEVALUE(_xll.bdp($B31&amp;" Curncy",G$1))</f>
        <v>#NAME?</v>
      </c>
      <c r="H31" s="1" t="e">
        <f aca="false" t="array" ref="H31:H31">DATEVALUE(_xll.bdp($B31&amp;" Curncy",H$1))</f>
        <v>#NAME?</v>
      </c>
      <c r="I31" s="0" t="e">
        <f aca="false" t="array" ref="I31:I31">_xll.bdp($B31&amp;" Curncy",I$1)</f>
        <v>#NAME?</v>
      </c>
    </row>
    <row r="32" customFormat="false" ht="15" hidden="false" customHeight="false" outlineLevel="0" collapsed="false">
      <c r="A32" s="0" t="s">
        <v>41</v>
      </c>
      <c r="B32" s="0" t="str">
        <f aca="false">"EESWE"&amp;A32</f>
        <v>EESWEG</v>
      </c>
      <c r="C32" s="0" t="s">
        <v>42</v>
      </c>
      <c r="D32" s="0" t="s">
        <v>20</v>
      </c>
      <c r="E32" s="0" t="s">
        <v>29</v>
      </c>
      <c r="F32" s="0" t="s">
        <v>30</v>
      </c>
      <c r="G32" s="1" t="e">
        <f aca="false" t="array" ref="G32:G32">DATEVALUE(_xll.bdp($B32&amp;" Curncy",G$1))</f>
        <v>#NAME?</v>
      </c>
      <c r="H32" s="1" t="e">
        <f aca="false" t="array" ref="H32:H32">DATEVALUE(_xll.bdp($B32&amp;" Curncy",H$1))</f>
        <v>#NAME?</v>
      </c>
      <c r="I32" s="0" t="e">
        <f aca="false" t="array" ref="I32:I32">_xll.bdp($B32&amp;" Curncy",I$1)</f>
        <v>#NAME?</v>
      </c>
    </row>
    <row r="33" customFormat="false" ht="15" hidden="false" customHeight="false" outlineLevel="0" collapsed="false">
      <c r="A33" s="0" t="s">
        <v>43</v>
      </c>
      <c r="B33" s="0" t="str">
        <f aca="false">"EESWE"&amp;A33</f>
        <v>EESWEH</v>
      </c>
      <c r="C33" s="0" t="s">
        <v>44</v>
      </c>
      <c r="D33" s="0" t="s">
        <v>20</v>
      </c>
      <c r="E33" s="0" t="s">
        <v>29</v>
      </c>
      <c r="F33" s="0" t="s">
        <v>30</v>
      </c>
      <c r="G33" s="1" t="e">
        <f aca="false" t="array" ref="G33:G33">DATEVALUE(_xll.bdp($B33&amp;" Curncy",G$1))</f>
        <v>#NAME?</v>
      </c>
      <c r="H33" s="1" t="e">
        <f aca="false" t="array" ref="H33:H33">DATEVALUE(_xll.bdp($B33&amp;" Curncy",H$1))</f>
        <v>#NAME?</v>
      </c>
      <c r="I33" s="0" t="e">
        <f aca="false" t="array" ref="I33:I33">_xll.bdp($B33&amp;" Curncy",I$1)</f>
        <v>#NAME?</v>
      </c>
    </row>
    <row r="34" customFormat="false" ht="15" hidden="false" customHeight="false" outlineLevel="0" collapsed="false">
      <c r="A34" s="0" t="s">
        <v>45</v>
      </c>
      <c r="B34" s="0" t="str">
        <f aca="false">"EESWE"&amp;A34</f>
        <v>EESWEI</v>
      </c>
      <c r="C34" s="0" t="s">
        <v>46</v>
      </c>
      <c r="D34" s="0" t="s">
        <v>20</v>
      </c>
      <c r="E34" s="0" t="s">
        <v>29</v>
      </c>
      <c r="F34" s="0" t="s">
        <v>30</v>
      </c>
      <c r="G34" s="1" t="e">
        <f aca="false" t="array" ref="G34:G34">DATEVALUE(_xll.bdp($B34&amp;" Curncy",G$1))</f>
        <v>#NAME?</v>
      </c>
      <c r="H34" s="1" t="e">
        <f aca="false" t="array" ref="H34:H34">DATEVALUE(_xll.bdp($B34&amp;" Curncy",H$1))</f>
        <v>#NAME?</v>
      </c>
      <c r="I34" s="0" t="e">
        <f aca="false" t="array" ref="I34:I34">_xll.bdp($B34&amp;" Curncy",I$1)</f>
        <v>#NAME?</v>
      </c>
    </row>
    <row r="35" customFormat="false" ht="15" hidden="false" customHeight="false" outlineLevel="0" collapsed="false">
      <c r="A35" s="0" t="s">
        <v>47</v>
      </c>
      <c r="B35" s="0" t="str">
        <f aca="false">"EESWE"&amp;A35</f>
        <v>EESWEJ</v>
      </c>
      <c r="C35" s="0" t="s">
        <v>48</v>
      </c>
      <c r="D35" s="0" t="s">
        <v>20</v>
      </c>
      <c r="E35" s="0" t="s">
        <v>29</v>
      </c>
      <c r="F35" s="0" t="s">
        <v>30</v>
      </c>
      <c r="G35" s="1" t="e">
        <f aca="false" t="array" ref="G35:G35">DATEVALUE(_xll.bdp($B35&amp;" Curncy",G$1))</f>
        <v>#NAME?</v>
      </c>
      <c r="H35" s="1" t="e">
        <f aca="false" t="array" ref="H35:H35">DATEVALUE(_xll.bdp($B35&amp;" Curncy",H$1))</f>
        <v>#NAME?</v>
      </c>
      <c r="I35" s="0" t="e">
        <f aca="false" t="array" ref="I35:I35">_xll.bdp($B35&amp;" Curncy",I$1)</f>
        <v>#NAME?</v>
      </c>
    </row>
    <row r="36" customFormat="false" ht="15" hidden="false" customHeight="false" outlineLevel="0" collapsed="false">
      <c r="A36" s="0" t="s">
        <v>49</v>
      </c>
      <c r="B36" s="0" t="str">
        <f aca="false">"EESWE"&amp;A36</f>
        <v>EESWEK</v>
      </c>
      <c r="C36" s="0" t="s">
        <v>50</v>
      </c>
      <c r="D36" s="0" t="s">
        <v>20</v>
      </c>
      <c r="E36" s="0" t="s">
        <v>29</v>
      </c>
      <c r="F36" s="0" t="s">
        <v>30</v>
      </c>
      <c r="G36" s="1" t="e">
        <f aca="false" t="array" ref="G36:G36">DATEVALUE(_xll.bdp($B36&amp;" Curncy",G$1))</f>
        <v>#NAME?</v>
      </c>
      <c r="H36" s="1" t="e">
        <f aca="false" t="array" ref="H36:H36">DATEVALUE(_xll.bdp($B36&amp;" Curncy",H$1))</f>
        <v>#NAME?</v>
      </c>
      <c r="I36" s="0" t="e">
        <f aca="false" t="array" ref="I36:I36">_xll.bdp($B36&amp;" Curncy",I$1)</f>
        <v>#NAME?</v>
      </c>
    </row>
    <row r="37" customFormat="false" ht="15" hidden="false" customHeight="false" outlineLevel="0" collapsed="false">
      <c r="A37" s="0" t="n">
        <v>1</v>
      </c>
      <c r="B37" s="0" t="str">
        <f aca="false">"EESWE"&amp;A37</f>
        <v>EESWE1</v>
      </c>
      <c r="C37" s="0" t="s">
        <v>51</v>
      </c>
      <c r="D37" s="0" t="s">
        <v>20</v>
      </c>
      <c r="E37" s="0" t="s">
        <v>29</v>
      </c>
      <c r="F37" s="0" t="s">
        <v>30</v>
      </c>
      <c r="G37" s="1" t="e">
        <f aca="false" t="array" ref="G37:G37">DATEVALUE(_xll.bdp($B37&amp;" Curncy",G$1))</f>
        <v>#NAME?</v>
      </c>
      <c r="H37" s="1" t="e">
        <f aca="false" t="array" ref="H37:H37">DATEVALUE(_xll.bdp($B37&amp;" Curncy",H$1))</f>
        <v>#NAME?</v>
      </c>
      <c r="I37" s="0" t="e">
        <f aca="false" t="array" ref="I37:I37">_xll.bdp($B37&amp;" Curncy",I$1)</f>
        <v>#NAME?</v>
      </c>
    </row>
    <row r="38" customFormat="false" ht="15" hidden="false" customHeight="false" outlineLevel="0" collapsed="false">
      <c r="A38" s="0" t="n">
        <v>2</v>
      </c>
      <c r="B38" s="0" t="str">
        <f aca="false">"EESWE"&amp;A38</f>
        <v>EESWE2</v>
      </c>
      <c r="C38" s="0" t="s">
        <v>52</v>
      </c>
      <c r="D38" s="0" t="s">
        <v>20</v>
      </c>
      <c r="E38" s="0" t="s">
        <v>29</v>
      </c>
      <c r="F38" s="0" t="s">
        <v>30</v>
      </c>
      <c r="G38" s="1" t="e">
        <f aca="false" t="array" ref="G38:G38">DATEVALUE(_xll.bdp($B38&amp;" Curncy",G$1))</f>
        <v>#NAME?</v>
      </c>
      <c r="H38" s="1" t="e">
        <f aca="false" t="array" ref="H38:H38">DATEVALUE(_xll.bdp($B38&amp;" Curncy",H$1))</f>
        <v>#NAME?</v>
      </c>
      <c r="I38" s="0" t="e">
        <f aca="false" t="array" ref="I38:I38">_xll.bdp($B38&amp;" Curncy",I$1)</f>
        <v>#NAME?</v>
      </c>
    </row>
    <row r="39" customFormat="false" ht="15" hidden="false" customHeight="false" outlineLevel="0" collapsed="false">
      <c r="A39" s="0" t="n">
        <v>3</v>
      </c>
      <c r="B39" s="0" t="str">
        <f aca="false">"EESWE"&amp;A39</f>
        <v>EESWE3</v>
      </c>
      <c r="C39" s="0" t="s">
        <v>53</v>
      </c>
      <c r="D39" s="0" t="s">
        <v>20</v>
      </c>
      <c r="E39" s="0" t="s">
        <v>29</v>
      </c>
      <c r="F39" s="0" t="s">
        <v>30</v>
      </c>
      <c r="G39" s="1" t="e">
        <f aca="false" t="array" ref="G39:G39">DATEVALUE(_xll.bdp($B39&amp;" Curncy",G$1))</f>
        <v>#NAME?</v>
      </c>
      <c r="H39" s="1" t="e">
        <f aca="false" t="array" ref="H39:H39">DATEVALUE(_xll.bdp($B39&amp;" Curncy",H$1))</f>
        <v>#NAME?</v>
      </c>
      <c r="I39" s="0" t="e">
        <f aca="false" t="array" ref="I39:I39">_xll.bdp($B39&amp;" Curncy",I$1)</f>
        <v>#NAME?</v>
      </c>
    </row>
    <row r="40" customFormat="false" ht="15" hidden="false" customHeight="false" outlineLevel="0" collapsed="false">
      <c r="A40" s="0" t="n">
        <v>4</v>
      </c>
      <c r="B40" s="0" t="str">
        <f aca="false">"EESWE"&amp;A40</f>
        <v>EESWE4</v>
      </c>
      <c r="C40" s="0" t="s">
        <v>54</v>
      </c>
      <c r="D40" s="0" t="s">
        <v>20</v>
      </c>
      <c r="E40" s="0" t="s">
        <v>29</v>
      </c>
      <c r="F40" s="0" t="s">
        <v>30</v>
      </c>
      <c r="G40" s="1" t="e">
        <f aca="false" t="array" ref="G40:G40">DATEVALUE(_xll.bdp($B40&amp;" Curncy",G$1))</f>
        <v>#NAME?</v>
      </c>
      <c r="H40" s="1" t="e">
        <f aca="false" t="array" ref="H40:H40">DATEVALUE(_xll.bdp($B40&amp;" Curncy",H$1))</f>
        <v>#NAME?</v>
      </c>
      <c r="I40" s="0" t="e">
        <f aca="false" t="array" ref="I40:I40">_xll.bdp($B40&amp;" Curncy",I$1)</f>
        <v>#NAME?</v>
      </c>
    </row>
    <row r="41" customFormat="false" ht="15" hidden="false" customHeight="false" outlineLevel="0" collapsed="false">
      <c r="A41" s="0" t="n">
        <v>5</v>
      </c>
      <c r="B41" s="0" t="str">
        <f aca="false">"EESWE"&amp;A41</f>
        <v>EESWE5</v>
      </c>
      <c r="C41" s="0" t="s">
        <v>55</v>
      </c>
      <c r="D41" s="0" t="s">
        <v>20</v>
      </c>
      <c r="E41" s="0" t="s">
        <v>29</v>
      </c>
      <c r="F41" s="0" t="s">
        <v>30</v>
      </c>
      <c r="G41" s="1" t="e">
        <f aca="false" t="array" ref="G41:G41">DATEVALUE(_xll.bdp($B41&amp;" Curncy",G$1))</f>
        <v>#NAME?</v>
      </c>
      <c r="H41" s="1" t="e">
        <f aca="false" t="array" ref="H41:H41">DATEVALUE(_xll.bdp($B41&amp;" Curncy",H$1))</f>
        <v>#NAME?</v>
      </c>
      <c r="I41" s="0" t="e">
        <f aca="false" t="array" ref="I41:I41">_xll.bdp($B41&amp;" Curncy",I$1)</f>
        <v>#NAME?</v>
      </c>
    </row>
    <row r="42" customFormat="false" ht="15" hidden="false" customHeight="false" outlineLevel="0" collapsed="false">
      <c r="A42" s="0" t="n">
        <v>0</v>
      </c>
      <c r="B42" s="0" t="str">
        <f aca="false">"EESF"&amp;A42&amp;"A"</f>
        <v>EESF0A</v>
      </c>
      <c r="C42" s="0" t="s">
        <v>57</v>
      </c>
      <c r="D42" s="0" t="s">
        <v>20</v>
      </c>
      <c r="E42" s="0" t="s">
        <v>29</v>
      </c>
      <c r="F42" s="0" t="s">
        <v>30</v>
      </c>
      <c r="G42" s="1" t="e">
        <f aca="false" t="array" ref="G42:G42">DATEVALUE(_xll.bdp($B42&amp;" Curncy",G$1))</f>
        <v>#NAME?</v>
      </c>
      <c r="H42" s="1" t="e">
        <f aca="false" t="array" ref="H42:H42">DATEVALUE(_xll.bdp($B42&amp;" Curncy",H$1))</f>
        <v>#NAME?</v>
      </c>
      <c r="I42" s="0" t="e">
        <f aca="false" t="array" ref="I42:I42">_xll.bdp($B42&amp;" Curncy",I$1)</f>
        <v>#NAME?</v>
      </c>
    </row>
    <row r="43" customFormat="false" ht="15" hidden="false" customHeight="false" outlineLevel="0" collapsed="false">
      <c r="A43" s="0" t="n">
        <v>1</v>
      </c>
      <c r="B43" s="0" t="str">
        <f aca="false">"EESF"&amp;A43&amp;"A"</f>
        <v>EESF1A</v>
      </c>
      <c r="C43" s="0" t="s">
        <v>58</v>
      </c>
      <c r="D43" s="0" t="s">
        <v>20</v>
      </c>
      <c r="E43" s="0" t="s">
        <v>29</v>
      </c>
      <c r="F43" s="0" t="s">
        <v>56</v>
      </c>
      <c r="G43" s="1" t="e">
        <f aca="false" t="array" ref="G43:G43">DATEVALUE(_xll.bdp($B43&amp;" Curncy",G$1))</f>
        <v>#NAME?</v>
      </c>
      <c r="H43" s="1" t="e">
        <f aca="false" t="array" ref="H43:H43">DATEVALUE(_xll.bdp($B43&amp;" Curncy",H$1))</f>
        <v>#NAME?</v>
      </c>
      <c r="I43" s="0" t="e">
        <f aca="false" t="array" ref="I43:I43">_xll.bdp($B43&amp;" Curncy",I$1)</f>
        <v>#NAME?</v>
      </c>
    </row>
    <row r="44" customFormat="false" ht="15" hidden="false" customHeight="false" outlineLevel="0" collapsed="false">
      <c r="A44" s="0" t="n">
        <v>2</v>
      </c>
      <c r="B44" s="0" t="str">
        <f aca="false">"EESF"&amp;A44&amp;"A"</f>
        <v>EESF2A</v>
      </c>
      <c r="C44" s="0" t="s">
        <v>59</v>
      </c>
      <c r="D44" s="0" t="s">
        <v>20</v>
      </c>
      <c r="E44" s="0" t="s">
        <v>29</v>
      </c>
      <c r="F44" s="0" t="s">
        <v>56</v>
      </c>
      <c r="G44" s="1" t="e">
        <f aca="false" t="array" ref="G44:G44">DATEVALUE(_xll.bdp($B44&amp;" Curncy",G$1))</f>
        <v>#NAME?</v>
      </c>
      <c r="H44" s="1" t="e">
        <f aca="false" t="array" ref="H44:H44">DATEVALUE(_xll.bdp($B44&amp;" Curncy",H$1))</f>
        <v>#NAME?</v>
      </c>
      <c r="I44" s="0" t="e">
        <f aca="false" t="array" ref="I44:I44">_xll.bdp($B44&amp;" Curncy",I$1)</f>
        <v>#NAME?</v>
      </c>
    </row>
    <row r="45" customFormat="false" ht="15" hidden="false" customHeight="false" outlineLevel="0" collapsed="false">
      <c r="A45" s="0" t="n">
        <v>3</v>
      </c>
      <c r="B45" s="0" t="str">
        <f aca="false">"EESF"&amp;A45&amp;"A"</f>
        <v>EESF3A</v>
      </c>
      <c r="C45" s="0" t="s">
        <v>60</v>
      </c>
      <c r="D45" s="0" t="s">
        <v>20</v>
      </c>
      <c r="E45" s="0" t="s">
        <v>29</v>
      </c>
      <c r="F45" s="0" t="s">
        <v>56</v>
      </c>
      <c r="G45" s="1" t="e">
        <f aca="false" t="array" ref="G45:G45">DATEVALUE(_xll.bdp($B45&amp;" Curncy",G$1))</f>
        <v>#NAME?</v>
      </c>
      <c r="H45" s="1" t="e">
        <f aca="false" t="array" ref="H45:H45">DATEVALUE(_xll.bdp($B45&amp;" Curncy",H$1))</f>
        <v>#NAME?</v>
      </c>
      <c r="I45" s="0" t="e">
        <f aca="false" t="array" ref="I45:I45">_xll.bdp($B45&amp;" Curncy",I$1)</f>
        <v>#NAME?</v>
      </c>
    </row>
    <row r="46" customFormat="false" ht="15" hidden="false" customHeight="false" outlineLevel="0" collapsed="false">
      <c r="A46" s="0" t="n">
        <v>4</v>
      </c>
      <c r="B46" s="0" t="str">
        <f aca="false">"EESF"&amp;A46&amp;"A"</f>
        <v>EESF4A</v>
      </c>
      <c r="C46" s="0" t="s">
        <v>61</v>
      </c>
      <c r="D46" s="0" t="s">
        <v>20</v>
      </c>
      <c r="E46" s="0" t="s">
        <v>29</v>
      </c>
      <c r="F46" s="0" t="s">
        <v>56</v>
      </c>
      <c r="G46" s="1" t="e">
        <f aca="false" t="array" ref="G46:G46">DATEVALUE(_xll.bdp($B46&amp;" Curncy",G$1))</f>
        <v>#NAME?</v>
      </c>
      <c r="H46" s="1" t="e">
        <f aca="false" t="array" ref="H46:H46">DATEVALUE(_xll.bdp($B46&amp;" Curncy",H$1))</f>
        <v>#NAME?</v>
      </c>
      <c r="I46" s="0" t="e">
        <f aca="false" t="array" ref="I46:I46">_xll.bdp($B46&amp;" Curncy",I$1)</f>
        <v>#NAME?</v>
      </c>
    </row>
    <row r="47" customFormat="false" ht="15" hidden="false" customHeight="false" outlineLevel="0" collapsed="false">
      <c r="A47" s="0" t="n">
        <v>5</v>
      </c>
      <c r="B47" s="0" t="str">
        <f aca="false">"EESF"&amp;A47&amp;"A"</f>
        <v>EESF5A</v>
      </c>
      <c r="C47" s="0" t="s">
        <v>62</v>
      </c>
      <c r="D47" s="0" t="s">
        <v>20</v>
      </c>
      <c r="E47" s="0" t="s">
        <v>29</v>
      </c>
      <c r="F47" s="0" t="s">
        <v>56</v>
      </c>
      <c r="G47" s="1" t="e">
        <f aca="false" t="array" ref="G47:G47">DATEVALUE(_xll.bdp($B47&amp;" Curncy",G$1))</f>
        <v>#NAME?</v>
      </c>
      <c r="H47" s="1" t="e">
        <f aca="false" t="array" ref="H47:H47">DATEVALUE(_xll.bdp($B47&amp;" Curncy",H$1))</f>
        <v>#NAME?</v>
      </c>
      <c r="I47" s="0" t="e">
        <f aca="false" t="array" ref="I47:I47">_xll.bdp($B47&amp;" Curncy",I$1)</f>
        <v>#NAME?</v>
      </c>
    </row>
    <row r="48" customFormat="false" ht="15" hidden="false" customHeight="false" outlineLevel="0" collapsed="false">
      <c r="A48" s="0" t="n">
        <v>6</v>
      </c>
      <c r="B48" s="0" t="str">
        <f aca="false">"EESF"&amp;A48&amp;"A"</f>
        <v>EESF6A</v>
      </c>
      <c r="C48" s="0" t="s">
        <v>63</v>
      </c>
      <c r="D48" s="0" t="s">
        <v>20</v>
      </c>
      <c r="E48" s="0" t="s">
        <v>29</v>
      </c>
      <c r="F48" s="0" t="s">
        <v>56</v>
      </c>
      <c r="G48" s="1" t="e">
        <f aca="false" t="array" ref="G48:G48">DATEVALUE(_xll.bdp($B48&amp;" Curncy",G$1))</f>
        <v>#NAME?</v>
      </c>
      <c r="H48" s="1" t="e">
        <f aca="false" t="array" ref="H48:H48">DATEVALUE(_xll.bdp($B48&amp;" Curncy",H$1))</f>
        <v>#NAME?</v>
      </c>
      <c r="I48" s="0" t="e">
        <f aca="false" t="array" ref="I48:I48">_xll.bdp($B48&amp;" Curncy",I$1)</f>
        <v>#NAME?</v>
      </c>
    </row>
    <row r="49" customFormat="false" ht="15" hidden="false" customHeight="false" outlineLevel="0" collapsed="false">
      <c r="A49" s="0" t="n">
        <v>7</v>
      </c>
      <c r="B49" s="0" t="str">
        <f aca="false">"EESF"&amp;A49&amp;"A"</f>
        <v>EESF7A</v>
      </c>
      <c r="C49" s="0" t="s">
        <v>64</v>
      </c>
      <c r="D49" s="0" t="s">
        <v>20</v>
      </c>
      <c r="E49" s="0" t="s">
        <v>29</v>
      </c>
      <c r="F49" s="0" t="s">
        <v>56</v>
      </c>
      <c r="G49" s="1" t="e">
        <f aca="false" t="array" ref="G49:G49">DATEVALUE(_xll.bdp($B49&amp;" Curncy",G$1))</f>
        <v>#NAME?</v>
      </c>
      <c r="H49" s="1" t="e">
        <f aca="false" t="array" ref="H49:H49">DATEVALUE(_xll.bdp($B49&amp;" Curncy",H$1))</f>
        <v>#NAME?</v>
      </c>
      <c r="I49" s="0" t="e">
        <f aca="false" t="array" ref="I49:I49">_xll.bdp($B49&amp;" Curncy",I$1)</f>
        <v>#NAME?</v>
      </c>
    </row>
    <row r="50" customFormat="false" ht="15" hidden="false" customHeight="false" outlineLevel="0" collapsed="false">
      <c r="A50" s="0" t="n">
        <v>8</v>
      </c>
      <c r="B50" s="0" t="str">
        <f aca="false">"EESF"&amp;A50&amp;"A"</f>
        <v>EESF8A</v>
      </c>
      <c r="C50" s="0" t="s">
        <v>65</v>
      </c>
      <c r="D50" s="0" t="s">
        <v>20</v>
      </c>
      <c r="E50" s="0" t="s">
        <v>29</v>
      </c>
      <c r="F50" s="0" t="s">
        <v>56</v>
      </c>
      <c r="G50" s="1" t="e">
        <f aca="false" t="array" ref="G50:G50">DATEVALUE(_xll.bdp($B50&amp;" Curncy",G$1))</f>
        <v>#NAME?</v>
      </c>
      <c r="H50" s="1" t="e">
        <f aca="false" t="array" ref="H50:H50">DATEVALUE(_xll.bdp($B50&amp;" Curncy",H$1))</f>
        <v>#NAME?</v>
      </c>
      <c r="I50" s="0" t="e">
        <f aca="false" t="array" ref="I50:I50">_xll.bdp($B50&amp;" Curncy",I$1)</f>
        <v>#NAME?</v>
      </c>
    </row>
    <row r="51" customFormat="false" ht="15" hidden="false" customHeight="false" outlineLevel="0" collapsed="false">
      <c r="B51" s="0" t="s">
        <v>66</v>
      </c>
      <c r="C51" s="0" t="str">
        <f aca="false">RIGHT(B51,LEN(B51)-3)</f>
        <v>ON</v>
      </c>
      <c r="D51" s="0" t="s">
        <v>67</v>
      </c>
      <c r="E51" s="0" t="s">
        <v>68</v>
      </c>
      <c r="F51" s="0" t="s">
        <v>68</v>
      </c>
      <c r="G51" s="1" t="e">
        <f aca="false" t="array" ref="G51:G51">DATEVALUE(_xll.bdp($B51&amp;" Curncy",G$1))</f>
        <v>#NAME?</v>
      </c>
      <c r="H51" s="1" t="e">
        <f aca="false" t="array" ref="H51:H51">DATEVALUE(_xll.bdp($B51&amp;" Curncy",H$1))</f>
        <v>#NAME?</v>
      </c>
      <c r="I51" s="0" t="e">
        <f aca="false" t="array" ref="I51:I51">_xll.bdp($B51&amp;" DG10 Curncy",I$1)</f>
        <v>#NAME?</v>
      </c>
    </row>
    <row r="52" customFormat="false" ht="15" hidden="false" customHeight="false" outlineLevel="0" collapsed="false">
      <c r="B52" s="0" t="s">
        <v>69</v>
      </c>
      <c r="C52" s="0" t="str">
        <f aca="false">RIGHT(B52,LEN(B52)-3)</f>
        <v>TN</v>
      </c>
      <c r="D52" s="0" t="s">
        <v>67</v>
      </c>
      <c r="E52" s="0" t="s">
        <v>68</v>
      </c>
      <c r="F52" s="0" t="s">
        <v>68</v>
      </c>
      <c r="G52" s="1" t="e">
        <f aca="false" t="array" ref="G52:G52">DATEVALUE(_xll.bdp($B52&amp;" Curncy",G$1))</f>
        <v>#NAME?</v>
      </c>
      <c r="H52" s="1" t="e">
        <f aca="false" t="array" ref="H52:H52">DATEVALUE(_xll.bdp($B52&amp;" Curncy",H$1))</f>
        <v>#NAME?</v>
      </c>
      <c r="I52" s="0" t="e">
        <f aca="false" t="array" ref="I52:I52">_xll.bdp($B52&amp;" DG10 Curncy",I$1)</f>
        <v>#NAME?</v>
      </c>
    </row>
    <row r="53" customFormat="false" ht="15" hidden="false" customHeight="false" outlineLevel="0" collapsed="false">
      <c r="B53" s="0" t="s">
        <v>70</v>
      </c>
      <c r="C53" s="0" t="str">
        <f aca="false">RIGHT(B53,LEN(B53)-3)</f>
        <v>SN</v>
      </c>
      <c r="D53" s="0" t="s">
        <v>67</v>
      </c>
      <c r="E53" s="0" t="s">
        <v>68</v>
      </c>
      <c r="F53" s="0" t="s">
        <v>68</v>
      </c>
      <c r="G53" s="1" t="e">
        <f aca="false" t="array" ref="G53:G53">DATEVALUE(_xll.bdp($B53&amp;" Curncy",G$1))</f>
        <v>#NAME?</v>
      </c>
      <c r="H53" s="1" t="e">
        <f aca="false" t="array" ref="H53:H53">DATEVALUE(_xll.bdp($B53&amp;" Curncy",H$1))</f>
        <v>#NAME?</v>
      </c>
      <c r="I53" s="0" t="e">
        <f aca="false" t="array" ref="I53:I53">_xll.bdp($B53&amp;" DG10 Curncy",I$1)</f>
        <v>#NAME?</v>
      </c>
    </row>
    <row r="54" customFormat="false" ht="15" hidden="false" customHeight="false" outlineLevel="0" collapsed="false">
      <c r="B54" s="0" t="s">
        <v>71</v>
      </c>
      <c r="C54" s="0" t="str">
        <f aca="false">RIGHT(B54,LEN(B54)-3)</f>
        <v>1W</v>
      </c>
      <c r="D54" s="0" t="s">
        <v>67</v>
      </c>
      <c r="E54" s="0" t="s">
        <v>68</v>
      </c>
      <c r="F54" s="0" t="s">
        <v>68</v>
      </c>
      <c r="G54" s="1" t="e">
        <f aca="false" t="array" ref="G54:G54">DATEVALUE(_xll.bdp($B54&amp;" Curncy",G$1))</f>
        <v>#NAME?</v>
      </c>
      <c r="H54" s="1" t="e">
        <f aca="false" t="array" ref="H54:H54">DATEVALUE(_xll.bdp($B54&amp;" Curncy",H$1))</f>
        <v>#NAME?</v>
      </c>
      <c r="I54" s="0" t="e">
        <f aca="false" t="array" ref="I54:I54">_xll.bdp($B54&amp;" DG10 Curncy",I$1)</f>
        <v>#NAME?</v>
      </c>
    </row>
    <row r="55" customFormat="false" ht="15" hidden="false" customHeight="false" outlineLevel="0" collapsed="false">
      <c r="B55" s="0" t="s">
        <v>72</v>
      </c>
      <c r="C55" s="0" t="str">
        <f aca="false">RIGHT(B55,LEN(B55)-3)</f>
        <v>2W</v>
      </c>
      <c r="D55" s="0" t="s">
        <v>67</v>
      </c>
      <c r="E55" s="0" t="s">
        <v>68</v>
      </c>
      <c r="F55" s="0" t="s">
        <v>68</v>
      </c>
      <c r="G55" s="1" t="e">
        <f aca="false" t="array" ref="G55:G55">DATEVALUE(_xll.bdp($B55&amp;" Curncy",G$1))</f>
        <v>#NAME?</v>
      </c>
      <c r="H55" s="1" t="e">
        <f aca="false" t="array" ref="H55:H55">DATEVALUE(_xll.bdp($B55&amp;" Curncy",H$1))</f>
        <v>#NAME?</v>
      </c>
      <c r="I55" s="0" t="e">
        <f aca="false" t="array" ref="I55:I55">_xll.bdp($B55&amp;" DG10 Curncy",I$1)</f>
        <v>#NAME?</v>
      </c>
    </row>
    <row r="56" customFormat="false" ht="15" hidden="false" customHeight="false" outlineLevel="0" collapsed="false">
      <c r="B56" s="0" t="s">
        <v>73</v>
      </c>
      <c r="C56" s="0" t="str">
        <f aca="false">RIGHT(B56,LEN(B56)-3)</f>
        <v>3W</v>
      </c>
      <c r="D56" s="0" t="s">
        <v>67</v>
      </c>
      <c r="E56" s="0" t="s">
        <v>68</v>
      </c>
      <c r="F56" s="0" t="s">
        <v>68</v>
      </c>
      <c r="G56" s="1" t="e">
        <f aca="false" t="array" ref="G56:G56">DATEVALUE(_xll.bdp($B56&amp;" Curncy",G$1))</f>
        <v>#NAME?</v>
      </c>
      <c r="H56" s="1" t="e">
        <f aca="false" t="array" ref="H56:H56">DATEVALUE(_xll.bdp($B56&amp;" Curncy",H$1))</f>
        <v>#NAME?</v>
      </c>
      <c r="I56" s="0" t="e">
        <f aca="false" t="array" ref="I56:I56">_xll.bdp($B56&amp;" DG10 Curncy",I$1)</f>
        <v>#NAME?</v>
      </c>
    </row>
    <row r="57" customFormat="false" ht="15" hidden="false" customHeight="false" outlineLevel="0" collapsed="false">
      <c r="B57" s="0" t="s">
        <v>74</v>
      </c>
      <c r="C57" s="0" t="str">
        <f aca="false">RIGHT(B57,LEN(B57)-3)</f>
        <v>1M</v>
      </c>
      <c r="D57" s="0" t="s">
        <v>67</v>
      </c>
      <c r="E57" s="0" t="s">
        <v>68</v>
      </c>
      <c r="F57" s="0" t="s">
        <v>68</v>
      </c>
      <c r="G57" s="1" t="e">
        <f aca="false" t="array" ref="G57:G57">DATEVALUE(_xll.bdp($B57&amp;" Curncy",G$1))</f>
        <v>#NAME?</v>
      </c>
      <c r="H57" s="1" t="e">
        <f aca="false" t="array" ref="H57:H57">DATEVALUE(_xll.bdp($B57&amp;" Curncy",H$1))</f>
        <v>#NAME?</v>
      </c>
      <c r="I57" s="0" t="e">
        <f aca="false" t="array" ref="I57:I57">_xll.bdp($B57&amp;" DG10 Curncy",I$1)</f>
        <v>#NAME?</v>
      </c>
    </row>
    <row r="58" customFormat="false" ht="15" hidden="false" customHeight="false" outlineLevel="0" collapsed="false">
      <c r="B58" s="0" t="s">
        <v>75</v>
      </c>
      <c r="C58" s="0" t="str">
        <f aca="false">RIGHT(B58,LEN(B58)-3)</f>
        <v>2M</v>
      </c>
      <c r="D58" s="0" t="s">
        <v>67</v>
      </c>
      <c r="E58" s="0" t="s">
        <v>68</v>
      </c>
      <c r="F58" s="0" t="s">
        <v>68</v>
      </c>
      <c r="G58" s="1" t="e">
        <f aca="false" t="array" ref="G58:G58">DATEVALUE(_xll.bdp($B58&amp;" Curncy",G$1))</f>
        <v>#NAME?</v>
      </c>
      <c r="H58" s="1" t="e">
        <f aca="false" t="array" ref="H58:H58">DATEVALUE(_xll.bdp($B58&amp;" Curncy",H$1))</f>
        <v>#NAME?</v>
      </c>
      <c r="I58" s="0" t="e">
        <f aca="false" t="array" ref="I58:I58">_xll.bdp($B58&amp;" DG10 Curncy",I$1)</f>
        <v>#NAME?</v>
      </c>
    </row>
    <row r="59" customFormat="false" ht="15" hidden="false" customHeight="false" outlineLevel="0" collapsed="false">
      <c r="B59" s="0" t="s">
        <v>76</v>
      </c>
      <c r="C59" s="0" t="str">
        <f aca="false">RIGHT(B59,LEN(B59)-3)</f>
        <v>3M</v>
      </c>
      <c r="D59" s="0" t="s">
        <v>67</v>
      </c>
      <c r="E59" s="0" t="s">
        <v>68</v>
      </c>
      <c r="F59" s="0" t="s">
        <v>68</v>
      </c>
      <c r="G59" s="1" t="e">
        <f aca="false" t="array" ref="G59:G59">DATEVALUE(_xll.bdp($B59&amp;" Curncy",G$1))</f>
        <v>#NAME?</v>
      </c>
      <c r="H59" s="1" t="e">
        <f aca="false" t="array" ref="H59:H59">DATEVALUE(_xll.bdp($B59&amp;" Curncy",H$1))</f>
        <v>#NAME?</v>
      </c>
      <c r="I59" s="0" t="e">
        <f aca="false" t="array" ref="I59:I59">_xll.bdp($B59&amp;" DG10 Curncy",I$1)</f>
        <v>#NAME?</v>
      </c>
    </row>
    <row r="60" customFormat="false" ht="15" hidden="false" customHeight="false" outlineLevel="0" collapsed="false">
      <c r="B60" s="0" t="s">
        <v>77</v>
      </c>
      <c r="C60" s="0" t="str">
        <f aca="false">RIGHT(B60,LEN(B60)-3)</f>
        <v>4M</v>
      </c>
      <c r="D60" s="0" t="s">
        <v>67</v>
      </c>
      <c r="E60" s="0" t="s">
        <v>68</v>
      </c>
      <c r="F60" s="0" t="s">
        <v>68</v>
      </c>
      <c r="G60" s="1" t="e">
        <f aca="false" t="array" ref="G60:G60">DATEVALUE(_xll.bdp($B60&amp;" Curncy",G$1))</f>
        <v>#NAME?</v>
      </c>
      <c r="H60" s="1" t="e">
        <f aca="false" t="array" ref="H60:H60">DATEVALUE(_xll.bdp($B60&amp;" Curncy",H$1))</f>
        <v>#NAME?</v>
      </c>
      <c r="I60" s="0" t="e">
        <f aca="false" t="array" ref="I60:I60">_xll.bdp($B60&amp;" DG10 Curncy",I$1)</f>
        <v>#NAME?</v>
      </c>
    </row>
    <row r="61" customFormat="false" ht="15" hidden="false" customHeight="false" outlineLevel="0" collapsed="false">
      <c r="B61" s="0" t="s">
        <v>78</v>
      </c>
      <c r="C61" s="0" t="str">
        <f aca="false">RIGHT(B61,LEN(B61)-3)</f>
        <v>5M</v>
      </c>
      <c r="D61" s="0" t="s">
        <v>67</v>
      </c>
      <c r="E61" s="0" t="s">
        <v>68</v>
      </c>
      <c r="F61" s="0" t="s">
        <v>68</v>
      </c>
      <c r="G61" s="1" t="e">
        <f aca="false" t="array" ref="G61:G61">DATEVALUE(_xll.bdp($B61&amp;" Curncy",G$1))</f>
        <v>#NAME?</v>
      </c>
      <c r="H61" s="1" t="e">
        <f aca="false" t="array" ref="H61:H61">DATEVALUE(_xll.bdp($B61&amp;" Curncy",H$1))</f>
        <v>#NAME?</v>
      </c>
      <c r="I61" s="0" t="e">
        <f aca="false" t="array" ref="I61:I61">_xll.bdp($B61&amp;" DG10 Curncy",I$1)</f>
        <v>#NAME?</v>
      </c>
    </row>
    <row r="62" customFormat="false" ht="15" hidden="false" customHeight="false" outlineLevel="0" collapsed="false">
      <c r="B62" s="0" t="s">
        <v>79</v>
      </c>
      <c r="C62" s="0" t="str">
        <f aca="false">RIGHT(B62,LEN(B62)-3)</f>
        <v>6M</v>
      </c>
      <c r="D62" s="0" t="s">
        <v>67</v>
      </c>
      <c r="E62" s="0" t="s">
        <v>68</v>
      </c>
      <c r="F62" s="0" t="s">
        <v>68</v>
      </c>
      <c r="G62" s="1" t="e">
        <f aca="false" t="array" ref="G62:G62">DATEVALUE(_xll.bdp($B62&amp;" Curncy",G$1))</f>
        <v>#NAME?</v>
      </c>
      <c r="H62" s="1" t="e">
        <f aca="false" t="array" ref="H62:H62">DATEVALUE(_xll.bdp($B62&amp;" Curncy",H$1))</f>
        <v>#NAME?</v>
      </c>
      <c r="I62" s="0" t="e">
        <f aca="false" t="array" ref="I62:I62">_xll.bdp($B62&amp;" DG10 Curncy",I$1)</f>
        <v>#NAME?</v>
      </c>
    </row>
    <row r="63" customFormat="false" ht="15" hidden="false" customHeight="false" outlineLevel="0" collapsed="false">
      <c r="B63" s="0" t="s">
        <v>80</v>
      </c>
      <c r="C63" s="0" t="str">
        <f aca="false">RIGHT(B63,LEN(B63)-3)</f>
        <v>7M</v>
      </c>
      <c r="D63" s="0" t="s">
        <v>67</v>
      </c>
      <c r="E63" s="0" t="s">
        <v>68</v>
      </c>
      <c r="F63" s="0" t="s">
        <v>68</v>
      </c>
      <c r="G63" s="1" t="e">
        <f aca="false" t="array" ref="G63:G63">DATEVALUE(_xll.bdp($B63&amp;" Curncy",G$1))</f>
        <v>#NAME?</v>
      </c>
      <c r="H63" s="1" t="e">
        <f aca="false" t="array" ref="H63:H63">DATEVALUE(_xll.bdp($B63&amp;" Curncy",H$1))</f>
        <v>#NAME?</v>
      </c>
      <c r="I63" s="0" t="e">
        <f aca="false" t="array" ref="I63:I63">_xll.bdp($B63&amp;" DG10 Curncy",I$1)</f>
        <v>#NAME?</v>
      </c>
    </row>
    <row r="64" customFormat="false" ht="15" hidden="false" customHeight="false" outlineLevel="0" collapsed="false">
      <c r="B64" s="0" t="s">
        <v>81</v>
      </c>
      <c r="C64" s="0" t="str">
        <f aca="false">RIGHT(B64,LEN(B64)-3)</f>
        <v>8M</v>
      </c>
      <c r="D64" s="0" t="s">
        <v>67</v>
      </c>
      <c r="E64" s="0" t="s">
        <v>68</v>
      </c>
      <c r="F64" s="0" t="s">
        <v>68</v>
      </c>
      <c r="G64" s="1" t="e">
        <f aca="false" t="array" ref="G64:G64">DATEVALUE(_xll.bdp($B64&amp;" Curncy",G$1))</f>
        <v>#NAME?</v>
      </c>
      <c r="H64" s="1" t="e">
        <f aca="false" t="array" ref="H64:H64">DATEVALUE(_xll.bdp($B64&amp;" Curncy",H$1))</f>
        <v>#NAME?</v>
      </c>
      <c r="I64" s="0" t="e">
        <f aca="false" t="array" ref="I64:I64">_xll.bdp($B64&amp;" DG10 Curncy",I$1)</f>
        <v>#NAME?</v>
      </c>
    </row>
    <row r="65" customFormat="false" ht="15" hidden="false" customHeight="false" outlineLevel="0" collapsed="false">
      <c r="B65" s="0" t="s">
        <v>82</v>
      </c>
      <c r="C65" s="0" t="str">
        <f aca="false">RIGHT(B65,LEN(B65)-3)</f>
        <v>9M</v>
      </c>
      <c r="D65" s="0" t="s">
        <v>67</v>
      </c>
      <c r="E65" s="0" t="s">
        <v>68</v>
      </c>
      <c r="F65" s="0" t="s">
        <v>68</v>
      </c>
      <c r="G65" s="1" t="e">
        <f aca="false" t="array" ref="G65:G65">DATEVALUE(_xll.bdp($B65&amp;" Curncy",G$1))</f>
        <v>#NAME?</v>
      </c>
      <c r="H65" s="1" t="e">
        <f aca="false" t="array" ref="H65:H65">DATEVALUE(_xll.bdp($B65&amp;" Curncy",H$1))</f>
        <v>#NAME?</v>
      </c>
      <c r="I65" s="0" t="e">
        <f aca="false" t="array" ref="I65:I65">_xll.bdp($B65&amp;" DG10 Curncy",I$1)</f>
        <v>#NAME?</v>
      </c>
    </row>
    <row r="66" customFormat="false" ht="15" hidden="false" customHeight="false" outlineLevel="0" collapsed="false">
      <c r="B66" s="0" t="s">
        <v>83</v>
      </c>
      <c r="C66" s="0" t="str">
        <f aca="false">RIGHT(B66,LEN(B66)-3)</f>
        <v>10M</v>
      </c>
      <c r="D66" s="0" t="s">
        <v>67</v>
      </c>
      <c r="E66" s="0" t="s">
        <v>68</v>
      </c>
      <c r="F66" s="0" t="s">
        <v>68</v>
      </c>
      <c r="G66" s="1" t="e">
        <f aca="false" t="array" ref="G66:G66">DATEVALUE(_xll.bdp($B66&amp;" Curncy",G$1))</f>
        <v>#NAME?</v>
      </c>
      <c r="H66" s="1" t="e">
        <f aca="false" t="array" ref="H66:H66">DATEVALUE(_xll.bdp($B66&amp;" Curncy",H$1))</f>
        <v>#NAME?</v>
      </c>
      <c r="I66" s="0" t="e">
        <f aca="false" t="array" ref="I66:I66">_xll.bdp($B66&amp;" DG10 Curncy",I$1)</f>
        <v>#NAME?</v>
      </c>
    </row>
    <row r="67" customFormat="false" ht="15" hidden="false" customHeight="false" outlineLevel="0" collapsed="false">
      <c r="B67" s="0" t="s">
        <v>84</v>
      </c>
      <c r="C67" s="0" t="str">
        <f aca="false">RIGHT(B67,LEN(B67)-3)</f>
        <v>11M</v>
      </c>
      <c r="D67" s="0" t="s">
        <v>67</v>
      </c>
      <c r="E67" s="0" t="s">
        <v>68</v>
      </c>
      <c r="F67" s="0" t="s">
        <v>68</v>
      </c>
      <c r="G67" s="1" t="e">
        <f aca="false" t="array" ref="G67:G67">DATEVALUE(_xll.bdp($B67&amp;" Curncy",G$1))</f>
        <v>#NAME?</v>
      </c>
      <c r="H67" s="1" t="e">
        <f aca="false" t="array" ref="H67:H67">DATEVALUE(_xll.bdp($B67&amp;" Curncy",H$1))</f>
        <v>#NAME?</v>
      </c>
      <c r="I67" s="0" t="e">
        <f aca="false" t="array" ref="I67:I67">_xll.bdp($B67&amp;" DG10 Curncy",I$1)</f>
        <v>#NAME?</v>
      </c>
    </row>
    <row r="68" customFormat="false" ht="15" hidden="false" customHeight="false" outlineLevel="0" collapsed="false">
      <c r="B68" s="0" t="s">
        <v>85</v>
      </c>
      <c r="C68" s="0" t="str">
        <f aca="false">RIGHT(B68,LEN(B68)-3)</f>
        <v>12M</v>
      </c>
      <c r="D68" s="0" t="s">
        <v>67</v>
      </c>
      <c r="E68" s="0" t="s">
        <v>68</v>
      </c>
      <c r="F68" s="0" t="s">
        <v>68</v>
      </c>
      <c r="G68" s="1" t="e">
        <f aca="false" t="array" ref="G68:G68">DATEVALUE(_xll.bdp($B68&amp;" Curncy",G$1))</f>
        <v>#NAME?</v>
      </c>
      <c r="H68" s="1" t="e">
        <f aca="false" t="array" ref="H68:H68">DATEVALUE(_xll.bdp($B68&amp;" Curncy",H$1))</f>
        <v>#NAME?</v>
      </c>
      <c r="I68" s="0" t="e">
        <f aca="false" t="array" ref="I68:I68">_xll.bdp($B68&amp;" DG10 Curncy",I$1)</f>
        <v>#NAME?</v>
      </c>
    </row>
    <row r="69" customFormat="false" ht="15" hidden="false" customHeight="false" outlineLevel="0" collapsed="false">
      <c r="B69" s="0" t="s">
        <v>86</v>
      </c>
      <c r="C69" s="0" t="str">
        <f aca="false">RIGHT(B69,LEN(B69)-3)</f>
        <v>15M</v>
      </c>
      <c r="D69" s="0" t="s">
        <v>67</v>
      </c>
      <c r="E69" s="0" t="s">
        <v>68</v>
      </c>
      <c r="F69" s="0" t="s">
        <v>68</v>
      </c>
      <c r="G69" s="1" t="e">
        <f aca="false" t="array" ref="G69:G69">DATEVALUE(_xll.bdp($B69&amp;" Curncy",G$1))</f>
        <v>#NAME?</v>
      </c>
      <c r="H69" s="1" t="e">
        <f aca="false" t="array" ref="H69:H69">DATEVALUE(_xll.bdp($B69&amp;" Curncy",H$1))</f>
        <v>#NAME?</v>
      </c>
      <c r="I69" s="0" t="e">
        <f aca="false" t="array" ref="I69:I69">_xll.bdp($B69&amp;" DG10 Curncy",I$1)</f>
        <v>#NAME?</v>
      </c>
    </row>
    <row r="70" customFormat="false" ht="15" hidden="false" customHeight="false" outlineLevel="0" collapsed="false">
      <c r="B70" s="0" t="s">
        <v>87</v>
      </c>
      <c r="C70" s="0" t="str">
        <f aca="false">RIGHT(B70,LEN(B70)-3)</f>
        <v>18M</v>
      </c>
      <c r="D70" s="0" t="s">
        <v>67</v>
      </c>
      <c r="E70" s="0" t="s">
        <v>68</v>
      </c>
      <c r="F70" s="0" t="s">
        <v>68</v>
      </c>
      <c r="G70" s="1" t="e">
        <f aca="false" t="array" ref="G70:G70">DATEVALUE(_xll.bdp($B70&amp;" Curncy",G$1))</f>
        <v>#NAME?</v>
      </c>
      <c r="H70" s="1" t="e">
        <f aca="false" t="array" ref="H70:H70">DATEVALUE(_xll.bdp($B70&amp;" Curncy",H$1))</f>
        <v>#NAME?</v>
      </c>
      <c r="I70" s="0" t="e">
        <f aca="false" t="array" ref="I70:I70">_xll.bdp($B70&amp;" DG10 Curncy",I$1)</f>
        <v>#NAME?</v>
      </c>
    </row>
    <row r="71" customFormat="false" ht="15" hidden="false" customHeight="false" outlineLevel="0" collapsed="false">
      <c r="B71" s="0" t="s">
        <v>88</v>
      </c>
      <c r="C71" s="0" t="str">
        <f aca="false">RIGHT(B71,LEN(B71)-3)</f>
        <v>21M</v>
      </c>
      <c r="D71" s="0" t="s">
        <v>67</v>
      </c>
      <c r="E71" s="0" t="s">
        <v>68</v>
      </c>
      <c r="F71" s="0" t="s">
        <v>68</v>
      </c>
      <c r="G71" s="1" t="e">
        <f aca="false" t="array" ref="G71:G71">DATEVALUE(_xll.bdp($B71&amp;" Curncy",G$1))</f>
        <v>#NAME?</v>
      </c>
      <c r="H71" s="1" t="e">
        <f aca="false" t="array" ref="H71:H71">DATEVALUE(_xll.bdp($B71&amp;" Curncy",H$1))</f>
        <v>#NAME?</v>
      </c>
      <c r="I71" s="0" t="e">
        <f aca="false" t="array" ref="I71:I71">_xll.bdp($B71&amp;" DG10 Curncy",I$1)</f>
        <v>#NAME?</v>
      </c>
    </row>
    <row r="72" customFormat="false" ht="15" hidden="false" customHeight="false" outlineLevel="0" collapsed="false">
      <c r="B72" s="0" t="s">
        <v>89</v>
      </c>
      <c r="C72" s="0" t="str">
        <f aca="false">RIGHT(B72,LEN(B72)-3)</f>
        <v>2Y</v>
      </c>
      <c r="D72" s="0" t="s">
        <v>67</v>
      </c>
      <c r="E72" s="0" t="s">
        <v>68</v>
      </c>
      <c r="F72" s="0" t="s">
        <v>68</v>
      </c>
      <c r="G72" s="1" t="e">
        <f aca="false" t="array" ref="G72:G72">DATEVALUE(_xll.bdp($B72&amp;" Curncy",G$1))</f>
        <v>#NAME?</v>
      </c>
      <c r="H72" s="1" t="e">
        <f aca="false" t="array" ref="H72:H72">DATEVALUE(_xll.bdp($B72&amp;" Curncy",H$1))</f>
        <v>#NAME?</v>
      </c>
      <c r="I72" s="0" t="e">
        <f aca="false" t="array" ref="I72:I72">_xll.bdp($B72&amp;" DG10 Curncy",I$1)</f>
        <v>#NAME?</v>
      </c>
    </row>
    <row r="73" customFormat="false" ht="15" hidden="false" customHeight="false" outlineLevel="0" collapsed="false">
      <c r="B73" s="0" t="s">
        <v>90</v>
      </c>
      <c r="C73" s="0" t="str">
        <f aca="false">RIGHT(B73,LEN(B73)-3)</f>
        <v>30M</v>
      </c>
      <c r="D73" s="0" t="s">
        <v>67</v>
      </c>
      <c r="E73" s="0" t="s">
        <v>68</v>
      </c>
      <c r="F73" s="0" t="s">
        <v>68</v>
      </c>
      <c r="G73" s="1" t="e">
        <f aca="false" t="array" ref="G73:G73">DATEVALUE(_xll.bdp($B73&amp;" Curncy",G$1))</f>
        <v>#NAME?</v>
      </c>
      <c r="H73" s="1" t="e">
        <f aca="false" t="array" ref="H73:H73">DATEVALUE(_xll.bdp($B73&amp;" Curncy",H$1))</f>
        <v>#NAME?</v>
      </c>
      <c r="I73" s="0" t="e">
        <f aca="false" t="array" ref="I73:I73">_xll.bdp($B73&amp;" DG10 Curncy",I$1)</f>
        <v>#NAME?</v>
      </c>
    </row>
    <row r="74" customFormat="false" ht="15" hidden="false" customHeight="false" outlineLevel="0" collapsed="false">
      <c r="B74" s="0" t="s">
        <v>91</v>
      </c>
      <c r="C74" s="0" t="str">
        <f aca="false">RIGHT(B74,LEN(B74)-3)</f>
        <v>3Y</v>
      </c>
      <c r="D74" s="0" t="s">
        <v>67</v>
      </c>
      <c r="E74" s="0" t="s">
        <v>68</v>
      </c>
      <c r="F74" s="0" t="s">
        <v>68</v>
      </c>
      <c r="G74" s="1" t="e">
        <f aca="false" t="array" ref="G74:G74">DATEVALUE(_xll.bdp($B74&amp;" Curncy",G$1))</f>
        <v>#NAME?</v>
      </c>
      <c r="H74" s="1" t="e">
        <f aca="false" t="array" ref="H74:H74">DATEVALUE(_xll.bdp($B74&amp;" Curncy",H$1))</f>
        <v>#NAME?</v>
      </c>
      <c r="I74" s="0" t="e">
        <f aca="false" t="array" ref="I74:I74">_xll.bdp($B74&amp;" DG10 Curncy",I$1)</f>
        <v>#NAME?</v>
      </c>
    </row>
    <row r="75" customFormat="false" ht="15" hidden="false" customHeight="false" outlineLevel="0" collapsed="false">
      <c r="B75" s="0" t="s">
        <v>92</v>
      </c>
      <c r="C75" s="0" t="str">
        <f aca="false">RIGHT(B75,LEN(B75)-3)</f>
        <v>4Y</v>
      </c>
      <c r="D75" s="0" t="s">
        <v>67</v>
      </c>
      <c r="E75" s="0" t="s">
        <v>68</v>
      </c>
      <c r="F75" s="0" t="s">
        <v>68</v>
      </c>
      <c r="G75" s="1" t="e">
        <f aca="false" t="array" ref="G75:G75">DATEVALUE(_xll.bdp($B75&amp;" Curncy",G$1))</f>
        <v>#NAME?</v>
      </c>
      <c r="H75" s="1" t="e">
        <f aca="false" t="array" ref="H75:H75">DATEVALUE(_xll.bdp($B75&amp;" Curncy",H$1))</f>
        <v>#NAME?</v>
      </c>
      <c r="I75" s="0" t="e">
        <f aca="false" t="array" ref="I75:I75">_xll.bdp($B75&amp;" DG10 Curncy",I$1)</f>
        <v>#NAME?</v>
      </c>
    </row>
    <row r="76" customFormat="false" ht="15" hidden="false" customHeight="false" outlineLevel="0" collapsed="false">
      <c r="B76" s="0" t="s">
        <v>93</v>
      </c>
      <c r="C76" s="0" t="str">
        <f aca="false">RIGHT(B76,LEN(B76)-3)</f>
        <v>5Y</v>
      </c>
      <c r="D76" s="0" t="s">
        <v>67</v>
      </c>
      <c r="E76" s="0" t="s">
        <v>68</v>
      </c>
      <c r="F76" s="0" t="s">
        <v>68</v>
      </c>
      <c r="G76" s="1" t="e">
        <f aca="false" t="array" ref="G76:G76">DATEVALUE(_xll.bdp($B76&amp;" Curncy",G$1))</f>
        <v>#NAME?</v>
      </c>
      <c r="H76" s="1" t="e">
        <f aca="false" t="array" ref="H76:H76">DATEVALUE(_xll.bdp($B76&amp;" Curncy",H$1))</f>
        <v>#NAME?</v>
      </c>
      <c r="I76" s="0" t="e">
        <f aca="false" t="array" ref="I76:I76">_xll.bdp($B76&amp;" DG10 Curncy",I$1)</f>
        <v>#NAME?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LibreOffice/24.8.6.2$Linux_X86_64 LibreOffice_project/480$Build-2</Application>
  <AppVersion>15.0000</AppVersion>
  <Company>ABN AMRO Bank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2025-05-05T07:35:10Z</dcterms:created>
  <dc:creator>Bart Timmer</dc:creator>
  <dc:description/>
  <dc:language>en-US</dc:language>
  <cp:lastModifiedBy/>
  <dcterms:modified xsi:type="dcterms:W3CDTF">2025-05-05T22:14:11Z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ffcf47-be15-40bf-818d-0da39af9f75a_ActionId">
    <vt:lpwstr>3eeabb6f-1100-4610-97b4-92c05c42207e</vt:lpwstr>
  </property>
  <property fmtid="{D5CDD505-2E9C-101B-9397-08002B2CF9AE}" pid="3" name="MSIP_Label_42ffcf47-be15-40bf-818d-0da39af9f75a_ContentBits">
    <vt:lpwstr>0</vt:lpwstr>
  </property>
  <property fmtid="{D5CDD505-2E9C-101B-9397-08002B2CF9AE}" pid="4" name="MSIP_Label_42ffcf47-be15-40bf-818d-0da39af9f75a_Enabled">
    <vt:lpwstr>true</vt:lpwstr>
  </property>
  <property fmtid="{D5CDD505-2E9C-101B-9397-08002B2CF9AE}" pid="5" name="MSIP_Label_42ffcf47-be15-40bf-818d-0da39af9f75a_Method">
    <vt:lpwstr>Privileged</vt:lpwstr>
  </property>
  <property fmtid="{D5CDD505-2E9C-101B-9397-08002B2CF9AE}" pid="6" name="MSIP_Label_42ffcf47-be15-40bf-818d-0da39af9f75a_Name">
    <vt:lpwstr>42ffcf47-be15-40bf-818d-0da39af9f75a</vt:lpwstr>
  </property>
  <property fmtid="{D5CDD505-2E9C-101B-9397-08002B2CF9AE}" pid="7" name="MSIP_Label_42ffcf47-be15-40bf-818d-0da39af9f75a_SetDate">
    <vt:lpwstr>2025-05-05T07:50:59Z</vt:lpwstr>
  </property>
  <property fmtid="{D5CDD505-2E9C-101B-9397-08002B2CF9AE}" pid="8" name="MSIP_Label_42ffcf47-be15-40bf-818d-0da39af9f75a_SiteId">
    <vt:lpwstr>3a15904d-3fd9-4256-a753-beb05cdf0c6d</vt:lpwstr>
  </property>
  <property fmtid="{D5CDD505-2E9C-101B-9397-08002B2CF9AE}" pid="9" name="MSIP_Label_42ffcf47-be15-40bf-818d-0da39af9f75a_Tag">
    <vt:lpwstr>10, 0, 1, 1</vt:lpwstr>
  </property>
</Properties>
</file>